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A60ED49-9D78-4F83-BBC2-F02A08E5FDB6}" xr6:coauthVersionLast="47" xr6:coauthVersionMax="47" xr10:uidLastSave="{00000000-0000-0000-0000-000000000000}"/>
  <bookViews>
    <workbookView xWindow="28680" yWindow="-120" windowWidth="29040" windowHeight="16440" tabRatio="500" activeTab="3" xr2:uid="{00000000-000D-0000-FFFF-FFFF00000000}"/>
  </bookViews>
  <sheets>
    <sheet name="4 players" sheetId="1" r:id="rId1"/>
    <sheet name="5 players" sheetId="2" r:id="rId2"/>
    <sheet name="6 players" sheetId="3" r:id="rId3"/>
    <sheet name="Single hand" sheetId="4" r:id="rId4"/>
    <sheet name="Not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4" l="1"/>
  <c r="F13" i="4"/>
  <c r="F12" i="4"/>
  <c r="F11" i="4"/>
  <c r="F10" i="4"/>
  <c r="F9" i="4"/>
  <c r="F8" i="4"/>
  <c r="F7" i="4"/>
  <c r="F6" i="4"/>
  <c r="F5" i="4"/>
  <c r="F4" i="4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J46" i="2"/>
  <c r="I46" i="2"/>
  <c r="H46" i="2"/>
  <c r="J45" i="2"/>
  <c r="I45" i="2"/>
  <c r="H45" i="2"/>
  <c r="J44" i="2"/>
  <c r="I44" i="2"/>
  <c r="H44" i="2"/>
  <c r="J43" i="2"/>
  <c r="I43" i="2"/>
  <c r="H43" i="2"/>
  <c r="J42" i="2"/>
  <c r="I42" i="2"/>
  <c r="H42" i="2"/>
  <c r="J41" i="2"/>
  <c r="I41" i="2"/>
  <c r="H41" i="2"/>
  <c r="J40" i="2"/>
  <c r="I40" i="2"/>
  <c r="H40" i="2"/>
  <c r="J39" i="2"/>
  <c r="I39" i="2"/>
  <c r="H39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9" i="2"/>
  <c r="I29" i="2"/>
  <c r="H29" i="2"/>
  <c r="J28" i="2"/>
  <c r="I28" i="2"/>
  <c r="H28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</calcChain>
</file>

<file path=xl/sharedStrings.xml><?xml version="1.0" encoding="utf-8"?>
<sst xmlns="http://schemas.openxmlformats.org/spreadsheetml/2006/main" count="154" uniqueCount="35">
  <si>
    <t>4 players: how many of them hold exactly k voids</t>
  </si>
  <si>
    <t>Each cell: probability that exactly j of the 4 hands have exactly k voids, for M cards per hand (max 13). Rows sum to 100%.</t>
  </si>
  <si>
    <t>No voids</t>
  </si>
  <si>
    <t>Cards</t>
  </si>
  <si>
    <t>0 players</t>
  </si>
  <si>
    <t>1 player</t>
  </si>
  <si>
    <t>2 players</t>
  </si>
  <si>
    <t>3 players</t>
  </si>
  <si>
    <t>4 players</t>
  </si>
  <si>
    <t>Expected no.</t>
  </si>
  <si>
    <t>≥1 player</t>
  </si>
  <si>
    <t>Check</t>
  </si>
  <si>
    <t>Exactly 1 void</t>
  </si>
  <si>
    <t>Exactly 2 voids</t>
  </si>
  <si>
    <t>Exactly 3 voids</t>
  </si>
  <si>
    <t>5 players: how many of them hold exactly k voids</t>
  </si>
  <si>
    <t>Each cell: probability that exactly j of the 5 hands have exactly k voids, for M cards per hand (max 10). Rows sum to 100%.</t>
  </si>
  <si>
    <t>5 players</t>
  </si>
  <si>
    <t>6 players: how many of them hold exactly k voids</t>
  </si>
  <si>
    <t>Each cell: probability that exactly j of the 6 hands have exactly k voids, for M cards per hand (max 8). Rows sum to 100%.</t>
  </si>
  <si>
    <t>6 players</t>
  </si>
  <si>
    <t>One hand of M cards: probability of exactly k voids (same for any N)</t>
  </si>
  <si>
    <t>0 voids</t>
  </si>
  <si>
    <t>1 void</t>
  </si>
  <si>
    <t>2 voids</t>
  </si>
  <si>
    <t>3 voids</t>
  </si>
  <si>
    <t>Method</t>
  </si>
  <si>
    <t>Exact enumeration, not simulation. Every deal is classified by its suit-count matrix (cards of each suit in each hand).</t>
  </si>
  <si>
    <t>A dynamic program over the N hands sums the number of deals for each matrix while counting hands with exactly k voids.</t>
  </si>
  <si>
    <t>The total count equals 52! / (M!^N (52-NM)!) for every case, and the expected number of hands with k voids equals N x the single-hand probability.</t>
  </si>
  <si>
    <t>Spot-checked against 200,000-deal Monte Carlo runs.</t>
  </si>
  <si>
    <t>Assumptions</t>
  </si>
  <si>
    <t>Standard 52-card deck, M cards to each of N players, remaining cards undealt. Turning up a trump card does not change these odds.</t>
  </si>
  <si>
    <t>Maximum M = floor(52/N): 13 at 4 players, 10 at 5, 8 at 6.</t>
  </si>
  <si>
    <t>Probability cells are computed values; ≥1 player, Expected no. and Check are live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</si>
</sst>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10"/>
      <color rgb="FF5E6B63"/>
      <name val="Arial"/>
      <family val="2"/>
    </font>
    <font>
      <b/>
      <sz val="11"/>
      <color rgb="FF0B1F17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1F17"/>
        <bgColor rgb="FF000000"/>
      </patternFill>
    </fill>
    <fill>
      <patternFill patternType="solid">
        <fgColor rgb="FFDCE6E0"/>
        <bgColor rgb="FFCC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C8C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10" fontId="6" fillId="0" borderId="1" xfId="0" applyNumberFormat="1" applyFont="1" applyBorder="1"/>
    <xf numFmtId="164" fontId="6" fillId="0" borderId="1" xfId="0" applyNumberFormat="1" applyFont="1" applyBorder="1"/>
    <xf numFmtId="10" fontId="6" fillId="3" borderId="1" xfId="0" applyNumberFormat="1" applyFont="1" applyFill="1" applyBorder="1"/>
    <xf numFmtId="165" fontId="6" fillId="0" borderId="1" xfId="0" applyNumberFormat="1" applyFont="1" applyBorder="1"/>
    <xf numFmtId="0" fontId="5" fillId="0" borderId="0" xfId="0" applyFont="1"/>
    <xf numFmtId="165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8C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6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B63"/>
      <rgbColor rgb="FF969696"/>
      <rgbColor rgb="FF003366"/>
      <rgbColor rgb="FF339966"/>
      <rgbColor rgb="FF0B1F1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x14ac:dyDescent="0.25"/>
  <cols>
    <col min="1" max="1" width="9" customWidth="1"/>
    <col min="2" max="7" width="11" customWidth="1"/>
    <col min="8" max="8" width="14" customWidth="1"/>
    <col min="9" max="9" width="9" customWidth="1"/>
  </cols>
  <sheetData>
    <row r="1" spans="1:9" ht="16.5" x14ac:dyDescent="0.25">
      <c r="A1" s="1" t="s">
        <v>0</v>
      </c>
    </row>
    <row r="2" spans="1:9" x14ac:dyDescent="0.25">
      <c r="A2" s="2" t="s">
        <v>1</v>
      </c>
    </row>
    <row r="4" spans="1:9" x14ac:dyDescent="0.25">
      <c r="A4" s="3" t="s">
        <v>2</v>
      </c>
    </row>
    <row r="5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25">
      <c r="A6" s="5">
        <v>3</v>
      </c>
      <c r="B6" s="6">
        <v>1</v>
      </c>
      <c r="C6" s="6">
        <v>0</v>
      </c>
      <c r="D6" s="6">
        <v>0</v>
      </c>
      <c r="E6" s="6">
        <v>0</v>
      </c>
      <c r="F6" s="6">
        <v>0</v>
      </c>
      <c r="G6" s="7">
        <f t="shared" ref="G6:G16" si="0">1*C6+2*D6+3*E6+4*F6</f>
        <v>0</v>
      </c>
      <c r="H6" s="8">
        <f t="shared" ref="H6:H16" si="1">1-B6</f>
        <v>0</v>
      </c>
      <c r="I6" s="9">
        <f t="shared" ref="I6:I16" si="2">SUM(B6:F6)</f>
        <v>1</v>
      </c>
    </row>
    <row r="7" spans="1:9" x14ac:dyDescent="0.25">
      <c r="A7" s="5">
        <v>4</v>
      </c>
      <c r="B7" s="6">
        <v>0.64074607074416801</v>
      </c>
      <c r="C7" s="6">
        <v>0.30109990285723598</v>
      </c>
      <c r="D7" s="6">
        <v>5.3701863527313501E-2</v>
      </c>
      <c r="E7" s="6">
        <v>4.3194842781463802E-3</v>
      </c>
      <c r="F7" s="6">
        <v>1.3267859313633099E-4</v>
      </c>
      <c r="G7" s="7">
        <f t="shared" si="0"/>
        <v>0.42199279711884741</v>
      </c>
      <c r="H7" s="8">
        <f t="shared" si="1"/>
        <v>0.35925392925583199</v>
      </c>
      <c r="I7" s="9">
        <f t="shared" si="2"/>
        <v>1.0000000000000002</v>
      </c>
    </row>
    <row r="8" spans="1:9" x14ac:dyDescent="0.25">
      <c r="A8" s="5">
        <v>5</v>
      </c>
      <c r="B8" s="6">
        <v>0.29601883533377799</v>
      </c>
      <c r="C8" s="6">
        <v>0.41839917536360799</v>
      </c>
      <c r="D8" s="6">
        <v>0.22534590801872001</v>
      </c>
      <c r="E8" s="6">
        <v>5.5053323739506201E-2</v>
      </c>
      <c r="F8" s="6">
        <v>5.1827575443879198E-3</v>
      </c>
      <c r="G8" s="7">
        <f t="shared" si="0"/>
        <v>1.0549819927971182</v>
      </c>
      <c r="H8" s="8">
        <f t="shared" si="1"/>
        <v>0.70398116466622196</v>
      </c>
      <c r="I8" s="9">
        <f t="shared" si="2"/>
        <v>1.0000000000000002</v>
      </c>
    </row>
    <row r="9" spans="1:9" x14ac:dyDescent="0.25">
      <c r="A9" s="5">
        <v>6</v>
      </c>
      <c r="B9" s="6">
        <v>0.11119502855645599</v>
      </c>
      <c r="C9" s="6">
        <v>0.32075512634092501</v>
      </c>
      <c r="D9" s="6">
        <v>0.35417779126632498</v>
      </c>
      <c r="E9" s="6">
        <v>0.17867059544043201</v>
      </c>
      <c r="F9" s="6">
        <v>3.5201458395862598E-2</v>
      </c>
      <c r="G9" s="7">
        <f t="shared" si="0"/>
        <v>1.7059283287783213</v>
      </c>
      <c r="H9" s="8">
        <f t="shared" si="1"/>
        <v>0.88880497144354398</v>
      </c>
      <c r="I9" s="9">
        <f t="shared" si="2"/>
        <v>1.0000000000000007</v>
      </c>
    </row>
    <row r="10" spans="1:9" x14ac:dyDescent="0.25">
      <c r="A10" s="5">
        <v>7</v>
      </c>
      <c r="B10" s="6">
        <v>3.6761414332885101E-2</v>
      </c>
      <c r="C10" s="6">
        <v>0.18400578734942399</v>
      </c>
      <c r="D10" s="6">
        <v>0.35427106690083598</v>
      </c>
      <c r="E10" s="6">
        <v>0.31408267088431202</v>
      </c>
      <c r="F10" s="6">
        <v>0.110879060532543</v>
      </c>
      <c r="G10" s="7">
        <f t="shared" si="0"/>
        <v>2.2783121759342042</v>
      </c>
      <c r="H10" s="8">
        <f t="shared" si="1"/>
        <v>0.96323858566711484</v>
      </c>
      <c r="I10" s="9">
        <f t="shared" si="2"/>
        <v>1</v>
      </c>
    </row>
    <row r="11" spans="1:9" x14ac:dyDescent="0.25">
      <c r="A11" s="5">
        <v>8</v>
      </c>
      <c r="B11" s="6">
        <v>1.12379483590214E-2</v>
      </c>
      <c r="C11" s="6">
        <v>8.9501059643914693E-2</v>
      </c>
      <c r="D11" s="6">
        <v>0.27559174164762601</v>
      </c>
      <c r="E11" s="6">
        <v>0.3936445430128</v>
      </c>
      <c r="F11" s="6">
        <v>0.23002470733663799</v>
      </c>
      <c r="G11" s="7">
        <f t="shared" si="0"/>
        <v>2.741717001324119</v>
      </c>
      <c r="H11" s="8">
        <f t="shared" si="1"/>
        <v>0.98876205164097863</v>
      </c>
      <c r="I11" s="9">
        <f t="shared" si="2"/>
        <v>1</v>
      </c>
    </row>
    <row r="12" spans="1:9" x14ac:dyDescent="0.25">
      <c r="A12" s="5">
        <v>9</v>
      </c>
      <c r="B12" s="6">
        <v>3.2750700730100699E-3</v>
      </c>
      <c r="C12" s="6">
        <v>3.9390826429648702E-2</v>
      </c>
      <c r="D12" s="6">
        <v>0.18417015353521901</v>
      </c>
      <c r="E12" s="6">
        <v>0.40160911324736198</v>
      </c>
      <c r="F12" s="6">
        <v>0.37155483671475997</v>
      </c>
      <c r="G12" s="7">
        <f t="shared" si="0"/>
        <v>3.0987778201012124</v>
      </c>
      <c r="H12" s="8">
        <f t="shared" si="1"/>
        <v>0.99672492992698991</v>
      </c>
      <c r="I12" s="9">
        <f t="shared" si="2"/>
        <v>0.99999999999999967</v>
      </c>
    </row>
    <row r="13" spans="1:9" x14ac:dyDescent="0.25">
      <c r="A13" s="5">
        <v>10</v>
      </c>
      <c r="B13" s="6">
        <v>9.2690199642534896E-4</v>
      </c>
      <c r="C13" s="6">
        <v>1.6289957003456399E-2</v>
      </c>
      <c r="D13" s="6">
        <v>0.111794054564216</v>
      </c>
      <c r="E13" s="6">
        <v>0.358754379905736</v>
      </c>
      <c r="F13" s="6">
        <v>0.51223470653016601</v>
      </c>
      <c r="G13" s="7">
        <f t="shared" si="0"/>
        <v>3.3650800319697605</v>
      </c>
      <c r="H13" s="8">
        <f t="shared" si="1"/>
        <v>0.99907309800357469</v>
      </c>
      <c r="I13" s="9">
        <f t="shared" si="2"/>
        <v>0.99999999999999978</v>
      </c>
    </row>
    <row r="14" spans="1:9" x14ac:dyDescent="0.25">
      <c r="A14" s="5">
        <v>11</v>
      </c>
      <c r="B14" s="6">
        <v>2.5750864779372902E-4</v>
      </c>
      <c r="C14" s="6">
        <v>6.4825409910736001E-3</v>
      </c>
      <c r="D14" s="6">
        <v>6.3732713467607699E-2</v>
      </c>
      <c r="E14" s="6">
        <v>0.29294807608655998</v>
      </c>
      <c r="F14" s="6">
        <v>0.63657916080696497</v>
      </c>
      <c r="G14" s="7">
        <f t="shared" si="0"/>
        <v>3.5591088394138288</v>
      </c>
      <c r="H14" s="8">
        <f t="shared" si="1"/>
        <v>0.99974249135220628</v>
      </c>
      <c r="I14" s="9">
        <f t="shared" si="2"/>
        <v>1</v>
      </c>
    </row>
    <row r="15" spans="1:9" x14ac:dyDescent="0.25">
      <c r="A15" s="5">
        <v>12</v>
      </c>
      <c r="B15" s="6">
        <v>7.0682460033152101E-5</v>
      </c>
      <c r="C15" s="6">
        <v>2.5230665033931501E-3</v>
      </c>
      <c r="D15" s="6">
        <v>3.4836407016276702E-2</v>
      </c>
      <c r="E15" s="6">
        <v>0.22454499957006899</v>
      </c>
      <c r="F15" s="6">
        <v>0.73802484445022798</v>
      </c>
      <c r="G15" s="7">
        <f t="shared" si="0"/>
        <v>3.6979302570470653</v>
      </c>
      <c r="H15" s="8">
        <f t="shared" si="1"/>
        <v>0.99992931753996683</v>
      </c>
      <c r="I15" s="9">
        <f t="shared" si="2"/>
        <v>1</v>
      </c>
    </row>
    <row r="16" spans="1:9" x14ac:dyDescent="0.25">
      <c r="A16" s="5">
        <v>13</v>
      </c>
      <c r="B16" s="6">
        <v>1.9275695479604599E-5</v>
      </c>
      <c r="C16" s="6">
        <v>9.7165550941194696E-4</v>
      </c>
      <c r="D16" s="6">
        <v>1.8494618185457799E-2</v>
      </c>
      <c r="E16" s="6">
        <v>0.164280777795864</v>
      </c>
      <c r="F16" s="6">
        <v>0.816233672813787</v>
      </c>
      <c r="G16" s="7">
        <f t="shared" si="0"/>
        <v>3.7957379165230676</v>
      </c>
      <c r="H16" s="8">
        <f t="shared" si="1"/>
        <v>0.99998072430452034</v>
      </c>
      <c r="I16" s="9">
        <f t="shared" si="2"/>
        <v>1.0000000000000004</v>
      </c>
    </row>
    <row r="18" spans="1:9" x14ac:dyDescent="0.25">
      <c r="A18" s="3" t="s">
        <v>12</v>
      </c>
    </row>
    <row r="19" spans="1:9" x14ac:dyDescent="0.25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10</v>
      </c>
      <c r="I19" s="4" t="s">
        <v>11</v>
      </c>
    </row>
    <row r="20" spans="1:9" x14ac:dyDescent="0.25">
      <c r="A20" s="5">
        <v>3</v>
      </c>
      <c r="B20" s="6">
        <v>0.13244598608185601</v>
      </c>
      <c r="C20" s="6">
        <v>0.34713303597070799</v>
      </c>
      <c r="D20" s="6">
        <v>0.34319804652723901</v>
      </c>
      <c r="E20" s="6">
        <v>0.151832619411855</v>
      </c>
      <c r="F20" s="6">
        <v>2.5390312008341302E-2</v>
      </c>
      <c r="G20" s="7">
        <f t="shared" ref="G20:G30" si="3">1*C20+2*D20+3*E20+4*F20</f>
        <v>1.5905882352941161</v>
      </c>
      <c r="H20" s="8">
        <f t="shared" ref="H20:H30" si="4">1-B20</f>
        <v>0.86755401391814402</v>
      </c>
      <c r="I20" s="9">
        <f t="shared" ref="I20:I30" si="5">SUM(B20:F20)</f>
        <v>0.99999999999999933</v>
      </c>
    </row>
    <row r="21" spans="1:9" x14ac:dyDescent="0.25">
      <c r="A21" s="5">
        <v>4</v>
      </c>
      <c r="B21" s="6">
        <v>3.01728453653731E-2</v>
      </c>
      <c r="C21" s="6">
        <v>0.16817518261053599</v>
      </c>
      <c r="D21" s="6">
        <v>0.35314977224110899</v>
      </c>
      <c r="E21" s="6">
        <v>0.33129264987414297</v>
      </c>
      <c r="F21" s="6">
        <v>0.117209549908839</v>
      </c>
      <c r="G21" s="7">
        <f t="shared" si="3"/>
        <v>2.3371908763505389</v>
      </c>
      <c r="H21" s="8">
        <f t="shared" si="4"/>
        <v>0.96982715463462688</v>
      </c>
      <c r="I21" s="9">
        <f t="shared" si="5"/>
        <v>1</v>
      </c>
    </row>
    <row r="22" spans="1:9" x14ac:dyDescent="0.25">
      <c r="A22" s="5">
        <v>5</v>
      </c>
      <c r="B22" s="6">
        <v>2.86930245630161E-2</v>
      </c>
      <c r="C22" s="6">
        <v>0.164142372117038</v>
      </c>
      <c r="D22" s="6">
        <v>0.35200103217072898</v>
      </c>
      <c r="E22" s="6">
        <v>0.33537735250794398</v>
      </c>
      <c r="F22" s="6">
        <v>0.11978621864127301</v>
      </c>
      <c r="G22" s="7">
        <f t="shared" si="3"/>
        <v>2.3534213685474201</v>
      </c>
      <c r="H22" s="8">
        <f t="shared" si="4"/>
        <v>0.97130697543698385</v>
      </c>
      <c r="I22" s="9">
        <f t="shared" si="5"/>
        <v>1</v>
      </c>
    </row>
    <row r="23" spans="1:9" x14ac:dyDescent="0.25">
      <c r="A23" s="5">
        <v>6</v>
      </c>
      <c r="B23" s="6">
        <v>6.0092316741099501E-2</v>
      </c>
      <c r="C23" s="6">
        <v>0.243577680840914</v>
      </c>
      <c r="D23" s="6">
        <v>0.37357133480656202</v>
      </c>
      <c r="E23" s="6">
        <v>0.25639679250199399</v>
      </c>
      <c r="F23" s="6">
        <v>6.6361875109430202E-2</v>
      </c>
      <c r="G23" s="7">
        <f t="shared" si="3"/>
        <v>2.0253582283977405</v>
      </c>
      <c r="H23" s="8">
        <f t="shared" si="4"/>
        <v>0.93990768325890051</v>
      </c>
      <c r="I23" s="9">
        <f t="shared" si="5"/>
        <v>0.99999999999999978</v>
      </c>
    </row>
    <row r="24" spans="1:9" x14ac:dyDescent="0.25">
      <c r="A24" s="5">
        <v>7</v>
      </c>
      <c r="B24" s="6">
        <v>0.132082188898305</v>
      </c>
      <c r="C24" s="6">
        <v>0.341892200471408</v>
      </c>
      <c r="D24" s="6">
        <v>0.34292104456203598</v>
      </c>
      <c r="E24" s="6">
        <v>0.15605892751877601</v>
      </c>
      <c r="F24" s="6">
        <v>2.7045638549475198E-2</v>
      </c>
      <c r="G24" s="7">
        <f t="shared" si="3"/>
        <v>1.6040936263497088</v>
      </c>
      <c r="H24" s="8">
        <f t="shared" si="4"/>
        <v>0.86791781110169497</v>
      </c>
      <c r="I24" s="9">
        <f t="shared" si="5"/>
        <v>1.0000000000000002</v>
      </c>
    </row>
    <row r="25" spans="1:9" x14ac:dyDescent="0.25">
      <c r="A25" s="5">
        <v>8</v>
      </c>
      <c r="B25" s="6">
        <v>0.24423345526432</v>
      </c>
      <c r="C25" s="6">
        <v>0.40174792258310199</v>
      </c>
      <c r="D25" s="6">
        <v>0.26460610961786601</v>
      </c>
      <c r="E25" s="6">
        <v>8.00966514813614E-2</v>
      </c>
      <c r="F25" s="6">
        <v>9.3158610533505097E-3</v>
      </c>
      <c r="G25" s="7">
        <f t="shared" si="3"/>
        <v>1.2085135404763203</v>
      </c>
      <c r="H25" s="8">
        <f t="shared" si="4"/>
        <v>0.75576654473568006</v>
      </c>
      <c r="I25" s="9">
        <f t="shared" si="5"/>
        <v>0.99999999999999978</v>
      </c>
    </row>
    <row r="26" spans="1:9" x14ac:dyDescent="0.25">
      <c r="A26" s="5">
        <v>9</v>
      </c>
      <c r="B26" s="6">
        <v>0.37947194034038401</v>
      </c>
      <c r="C26" s="6">
        <v>0.40266747443464002</v>
      </c>
      <c r="D26" s="6">
        <v>0.17831738457174101</v>
      </c>
      <c r="E26" s="6">
        <v>3.6629268472020103E-2</v>
      </c>
      <c r="F26" s="6">
        <v>2.9139321812151901E-3</v>
      </c>
      <c r="G26" s="7">
        <f t="shared" si="3"/>
        <v>0.88084577771904315</v>
      </c>
      <c r="H26" s="8">
        <f t="shared" si="4"/>
        <v>0.62052805965961599</v>
      </c>
      <c r="I26" s="9">
        <f t="shared" si="5"/>
        <v>1.0000000000000002</v>
      </c>
    </row>
    <row r="27" spans="1:9" x14ac:dyDescent="0.25">
      <c r="A27" s="5">
        <v>10</v>
      </c>
      <c r="B27" s="6">
        <v>0.51607924853796605</v>
      </c>
      <c r="C27" s="6">
        <v>0.35824010255883698</v>
      </c>
      <c r="D27" s="6">
        <v>0.10928078057306501</v>
      </c>
      <c r="E27" s="6">
        <v>1.55388360523537E-2</v>
      </c>
      <c r="F27" s="6">
        <v>8.6103227777800499E-4</v>
      </c>
      <c r="G27" s="7">
        <f t="shared" si="3"/>
        <v>0.62686230097314011</v>
      </c>
      <c r="H27" s="8">
        <f t="shared" si="4"/>
        <v>0.48392075146203395</v>
      </c>
      <c r="I27" s="9">
        <f t="shared" si="5"/>
        <v>0.99999999999999978</v>
      </c>
    </row>
    <row r="28" spans="1:9" x14ac:dyDescent="0.25">
      <c r="A28" s="5">
        <v>11</v>
      </c>
      <c r="B28" s="6">
        <v>0.63825812341090504</v>
      </c>
      <c r="C28" s="6">
        <v>0.29244025054130302</v>
      </c>
      <c r="D28" s="6">
        <v>6.2769451665819501E-2</v>
      </c>
      <c r="E28" s="6">
        <v>6.2864573267753399E-3</v>
      </c>
      <c r="F28" s="6">
        <v>2.4571705519670501E-4</v>
      </c>
      <c r="G28" s="7">
        <f t="shared" si="3"/>
        <v>0.43782139407405485</v>
      </c>
      <c r="H28" s="8">
        <f t="shared" si="4"/>
        <v>0.36174187658909496</v>
      </c>
      <c r="I28" s="9">
        <f t="shared" si="5"/>
        <v>0.99999999999999967</v>
      </c>
    </row>
    <row r="29" spans="1:9" x14ac:dyDescent="0.25">
      <c r="A29" s="5">
        <v>12</v>
      </c>
      <c r="B29" s="6">
        <v>0.73869709003593897</v>
      </c>
      <c r="C29" s="6">
        <v>0.224269134270523</v>
      </c>
      <c r="D29" s="6">
        <v>3.4492416317838198E-2</v>
      </c>
      <c r="E29" s="6">
        <v>2.4727598674584099E-3</v>
      </c>
      <c r="F29" s="6">
        <v>6.8599508241702601E-5</v>
      </c>
      <c r="G29" s="7">
        <f t="shared" si="3"/>
        <v>0.30094664454154146</v>
      </c>
      <c r="H29" s="8">
        <f t="shared" si="4"/>
        <v>0.26130290996406103</v>
      </c>
      <c r="I29" s="9">
        <f t="shared" si="5"/>
        <v>1.0000000000000002</v>
      </c>
    </row>
    <row r="30" spans="1:9" x14ac:dyDescent="0.25">
      <c r="A30" s="5">
        <v>13</v>
      </c>
      <c r="B30" s="6">
        <v>0.81648308820631799</v>
      </c>
      <c r="C30" s="6">
        <v>0.16416141812498899</v>
      </c>
      <c r="D30" s="6">
        <v>1.8377811851946198E-2</v>
      </c>
      <c r="E30" s="6">
        <v>9.5877071802408199E-4</v>
      </c>
      <c r="F30" s="6">
        <v>1.8911098722094199E-5</v>
      </c>
      <c r="G30" s="7">
        <f t="shared" si="3"/>
        <v>0.20386899837784203</v>
      </c>
      <c r="H30" s="8">
        <f t="shared" si="4"/>
        <v>0.18351691179368201</v>
      </c>
      <c r="I30" s="9">
        <f t="shared" si="5"/>
        <v>0.99999999999999933</v>
      </c>
    </row>
    <row r="32" spans="1:9" x14ac:dyDescent="0.25">
      <c r="A32" s="3" t="s">
        <v>13</v>
      </c>
    </row>
    <row r="33" spans="1:9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</row>
    <row r="34" spans="1:9" x14ac:dyDescent="0.25">
      <c r="A34" s="5">
        <v>3</v>
      </c>
      <c r="B34" s="6">
        <v>4.0941186199244403E-2</v>
      </c>
      <c r="C34" s="6">
        <v>0.19995800091555399</v>
      </c>
      <c r="D34" s="6">
        <v>0.36701495831896502</v>
      </c>
      <c r="E34" s="6">
        <v>0.29997839464196202</v>
      </c>
      <c r="F34" s="6">
        <v>9.2107459924275603E-2</v>
      </c>
      <c r="G34" s="7">
        <f t="shared" ref="G34:G44" si="6">1*C34+2*D34+3*E34+4*F34</f>
        <v>2.2023529411764722</v>
      </c>
      <c r="H34" s="8">
        <f t="shared" ref="H34:H44" si="7">1-B34</f>
        <v>0.95905881380075564</v>
      </c>
      <c r="I34" s="9">
        <f t="shared" ref="I34:I44" si="8">SUM(B34:F34)</f>
        <v>1.0000000000000009</v>
      </c>
    </row>
    <row r="35" spans="1:9" x14ac:dyDescent="0.25">
      <c r="A35" s="5">
        <v>4</v>
      </c>
      <c r="B35" s="6">
        <v>0.242489130834836</v>
      </c>
      <c r="C35" s="6">
        <v>0.40944538473837999</v>
      </c>
      <c r="D35" s="6">
        <v>0.26344281676852999</v>
      </c>
      <c r="E35" s="6">
        <v>7.6262265138949695E-2</v>
      </c>
      <c r="F35" s="6">
        <v>8.3604025193046699E-3</v>
      </c>
      <c r="G35" s="7">
        <f t="shared" si="6"/>
        <v>1.1985594237695076</v>
      </c>
      <c r="H35" s="8">
        <f t="shared" si="7"/>
        <v>0.75751086916516397</v>
      </c>
      <c r="I35" s="9">
        <f t="shared" si="8"/>
        <v>1.0000000000000004</v>
      </c>
    </row>
    <row r="36" spans="1:9" x14ac:dyDescent="0.25">
      <c r="A36" s="5">
        <v>5</v>
      </c>
      <c r="B36" s="6">
        <v>0.53490323433644904</v>
      </c>
      <c r="C36" s="6">
        <v>0.35889105577581598</v>
      </c>
      <c r="D36" s="6">
        <v>9.4354981619740902E-2</v>
      </c>
      <c r="E36" s="6">
        <v>1.13304626995211E-2</v>
      </c>
      <c r="F36" s="6">
        <v>5.2026556847349105E-4</v>
      </c>
      <c r="G36" s="7">
        <f t="shared" si="6"/>
        <v>0.583673469387755</v>
      </c>
      <c r="H36" s="8">
        <f t="shared" si="7"/>
        <v>0.46509676566355096</v>
      </c>
      <c r="I36" s="9">
        <f t="shared" si="8"/>
        <v>1.0000000000000004</v>
      </c>
    </row>
    <row r="37" spans="1:9" x14ac:dyDescent="0.25">
      <c r="A37" s="5">
        <v>6</v>
      </c>
      <c r="B37" s="6">
        <v>0.760188612466425</v>
      </c>
      <c r="C37" s="6">
        <v>0.21364980103916401</v>
      </c>
      <c r="D37" s="6">
        <v>2.4797521885662598E-2</v>
      </c>
      <c r="E37" s="6">
        <v>1.33628497775161E-3</v>
      </c>
      <c r="F37" s="6">
        <v>2.77796309971347E-5</v>
      </c>
      <c r="G37" s="7">
        <f t="shared" si="6"/>
        <v>0.26736481826773256</v>
      </c>
      <c r="H37" s="8">
        <f t="shared" si="7"/>
        <v>0.239811387533575</v>
      </c>
      <c r="I37" s="9">
        <f t="shared" si="8"/>
        <v>1.0000000000000004</v>
      </c>
    </row>
    <row r="38" spans="1:9" x14ac:dyDescent="0.25">
      <c r="A38" s="5">
        <v>7</v>
      </c>
      <c r="B38" s="6">
        <v>0.88858178343326399</v>
      </c>
      <c r="C38" s="6">
        <v>0.105592920562439</v>
      </c>
      <c r="D38" s="6">
        <v>5.68122976065476E-3</v>
      </c>
      <c r="E38" s="6">
        <v>1.4267281817443699E-4</v>
      </c>
      <c r="F38" s="6">
        <v>1.3934254682607101E-6</v>
      </c>
      <c r="G38" s="7">
        <f t="shared" si="6"/>
        <v>0.11738897224014487</v>
      </c>
      <c r="H38" s="8">
        <f t="shared" si="7"/>
        <v>0.11141821656673601</v>
      </c>
      <c r="I38" s="9">
        <f t="shared" si="8"/>
        <v>1.0000000000000004</v>
      </c>
    </row>
    <row r="39" spans="1:9" x14ac:dyDescent="0.25">
      <c r="A39" s="5">
        <v>8</v>
      </c>
      <c r="B39" s="6">
        <v>0.95152049308411002</v>
      </c>
      <c r="C39" s="6">
        <v>4.7231625631651702E-2</v>
      </c>
      <c r="D39" s="6">
        <v>1.23324317864688E-3</v>
      </c>
      <c r="E39" s="6">
        <v>1.45696085426754E-5</v>
      </c>
      <c r="F39" s="6">
        <v>6.8497048741944901E-8</v>
      </c>
      <c r="G39" s="7">
        <f t="shared" si="6"/>
        <v>4.9742094802768456E-2</v>
      </c>
      <c r="H39" s="8">
        <f t="shared" si="7"/>
        <v>4.8479506915889981E-2</v>
      </c>
      <c r="I39" s="9">
        <f t="shared" si="8"/>
        <v>1</v>
      </c>
    </row>
    <row r="40" spans="1:9" x14ac:dyDescent="0.25">
      <c r="A40" s="5">
        <v>9</v>
      </c>
      <c r="B40" s="6">
        <v>0.979895191090289</v>
      </c>
      <c r="C40" s="6">
        <v>1.9837780023570301E-2</v>
      </c>
      <c r="D40" s="6">
        <v>2.6557739395163799E-4</v>
      </c>
      <c r="E40" s="6">
        <v>1.4480773950761701E-6</v>
      </c>
      <c r="F40" s="6">
        <v>3.4147940696826601E-9</v>
      </c>
      <c r="G40" s="7">
        <f t="shared" si="6"/>
        <v>2.0373292702835086E-2</v>
      </c>
      <c r="H40" s="8">
        <f t="shared" si="7"/>
        <v>2.0104808909711003E-2</v>
      </c>
      <c r="I40" s="9">
        <f t="shared" si="8"/>
        <v>1</v>
      </c>
    </row>
    <row r="41" spans="1:9" x14ac:dyDescent="0.25">
      <c r="A41" s="5">
        <v>10</v>
      </c>
      <c r="B41" s="6">
        <v>0.992001274610113</v>
      </c>
      <c r="C41" s="6">
        <v>7.9402135611020292E-3</v>
      </c>
      <c r="D41" s="6">
        <v>5.8371424481810298E-5</v>
      </c>
      <c r="E41" s="6">
        <v>1.4022384453380301E-7</v>
      </c>
      <c r="F41" s="6">
        <v>1.8045842984839899E-10</v>
      </c>
      <c r="G41" s="7">
        <f t="shared" si="6"/>
        <v>8.0573778034329722E-3</v>
      </c>
      <c r="H41" s="8">
        <f t="shared" si="7"/>
        <v>7.9987253898869959E-3</v>
      </c>
      <c r="I41" s="9">
        <f t="shared" si="8"/>
        <v>0.99999999999999989</v>
      </c>
    </row>
    <row r="42" spans="1:9" x14ac:dyDescent="0.25">
      <c r="A42" s="5">
        <v>11</v>
      </c>
      <c r="B42" s="6">
        <v>0.99694359550068401</v>
      </c>
      <c r="C42" s="6">
        <v>3.0430763877752199E-3</v>
      </c>
      <c r="D42" s="6">
        <v>1.33148818107112E-5</v>
      </c>
      <c r="E42" s="6">
        <v>1.32191753258281E-8</v>
      </c>
      <c r="F42" s="6">
        <v>1.05544467218131E-11</v>
      </c>
      <c r="G42" s="7">
        <f t="shared" si="6"/>
        <v>3.0697458511404069E-3</v>
      </c>
      <c r="H42" s="8">
        <f t="shared" si="7"/>
        <v>3.05640449931599E-3</v>
      </c>
      <c r="I42" s="9">
        <f t="shared" si="8"/>
        <v>0.99999999999999967</v>
      </c>
    </row>
    <row r="43" spans="1:9" x14ac:dyDescent="0.25">
      <c r="A43" s="5">
        <v>12</v>
      </c>
      <c r="B43" s="6">
        <v>0.99888007417070002</v>
      </c>
      <c r="C43" s="6">
        <v>1.11675547459249E-3</v>
      </c>
      <c r="D43" s="6">
        <v>3.1691358747450999E-6</v>
      </c>
      <c r="E43" s="6">
        <v>1.2181306914150101E-9</v>
      </c>
      <c r="F43" s="6">
        <v>7.0170113444216498E-13</v>
      </c>
      <c r="G43" s="7">
        <f t="shared" si="6"/>
        <v>1.1230974035408589E-3</v>
      </c>
      <c r="H43" s="8">
        <f t="shared" si="7"/>
        <v>1.1199258292999836E-3</v>
      </c>
      <c r="I43" s="9">
        <f t="shared" si="8"/>
        <v>0.99999999999999956</v>
      </c>
    </row>
    <row r="44" spans="1:9" x14ac:dyDescent="0.25">
      <c r="A44" s="5">
        <v>13</v>
      </c>
      <c r="B44" s="6">
        <v>0.99960769842725095</v>
      </c>
      <c r="C44" s="6">
        <v>3.9151818190212898E-4</v>
      </c>
      <c r="D44" s="6">
        <v>7.8328061430631301E-7</v>
      </c>
      <c r="E44" s="6">
        <v>1.10164705491409E-10</v>
      </c>
      <c r="F44" s="6">
        <v>6.7656281148062205E-14</v>
      </c>
      <c r="G44" s="7">
        <f t="shared" si="6"/>
        <v>3.9308507389548315E-4</v>
      </c>
      <c r="H44" s="8">
        <f t="shared" si="7"/>
        <v>3.9230157274905419E-4</v>
      </c>
      <c r="I44" s="9">
        <f t="shared" si="8"/>
        <v>0.99999999999999956</v>
      </c>
    </row>
    <row r="46" spans="1:9" x14ac:dyDescent="0.25">
      <c r="A46" s="3" t="s">
        <v>14</v>
      </c>
    </row>
    <row r="47" spans="1:9" x14ac:dyDescent="0.25">
      <c r="A47" s="4" t="s">
        <v>3</v>
      </c>
      <c r="B47" s="4" t="s">
        <v>4</v>
      </c>
      <c r="C47" s="4" t="s">
        <v>5</v>
      </c>
      <c r="D47" s="4" t="s">
        <v>6</v>
      </c>
      <c r="E47" s="4" t="s">
        <v>7</v>
      </c>
      <c r="F47" s="4" t="s">
        <v>8</v>
      </c>
      <c r="G47" s="4" t="s">
        <v>9</v>
      </c>
      <c r="H47" s="4" t="s">
        <v>10</v>
      </c>
      <c r="I47" s="4" t="s">
        <v>11</v>
      </c>
    </row>
    <row r="48" spans="1:9" x14ac:dyDescent="0.25">
      <c r="A48" s="5">
        <v>3</v>
      </c>
      <c r="B48" s="6">
        <v>0.808841152623475</v>
      </c>
      <c r="C48" s="6">
        <v>0.17583765320528799</v>
      </c>
      <c r="D48" s="6">
        <v>1.47505892546613E-2</v>
      </c>
      <c r="E48" s="6">
        <v>5.6242785150126696E-4</v>
      </c>
      <c r="F48" s="6">
        <v>8.1770650744384507E-6</v>
      </c>
      <c r="G48" s="7">
        <f t="shared" ref="G48:G58" si="9">1*C48+2*D48+3*E48+4*F48</f>
        <v>0.20705882352941213</v>
      </c>
      <c r="H48" s="8">
        <f t="shared" ref="H48:H58" si="10">1-B48</f>
        <v>0.191158847376525</v>
      </c>
      <c r="I48" s="9">
        <f t="shared" ref="I48:I58" si="11">SUM(B48:F48)</f>
        <v>1</v>
      </c>
    </row>
    <row r="49" spans="1:9" x14ac:dyDescent="0.25">
      <c r="A49" s="5">
        <v>4</v>
      </c>
      <c r="B49" s="6">
        <v>0.95847670127712403</v>
      </c>
      <c r="C49" s="6">
        <v>4.0795859407497803E-2</v>
      </c>
      <c r="D49" s="6">
        <v>7.21294809022427E-4</v>
      </c>
      <c r="E49" s="6">
        <v>6.1242898629164802E-6</v>
      </c>
      <c r="F49" s="6">
        <v>2.0216493250022701E-8</v>
      </c>
      <c r="G49" s="7">
        <f t="shared" si="9"/>
        <v>4.2256902761104408E-2</v>
      </c>
      <c r="H49" s="8">
        <f t="shared" si="10"/>
        <v>4.1523298722875968E-2</v>
      </c>
      <c r="I49" s="9">
        <f t="shared" si="11"/>
        <v>1.0000000000000002</v>
      </c>
    </row>
    <row r="50" spans="1:9" x14ac:dyDescent="0.25">
      <c r="A50" s="5">
        <v>5</v>
      </c>
      <c r="B50" s="6">
        <v>0.99210711489663395</v>
      </c>
      <c r="C50" s="6">
        <v>7.8626651097048802E-3</v>
      </c>
      <c r="D50" s="6">
        <v>3.0155879277999499E-5</v>
      </c>
      <c r="E50" s="6">
        <v>6.4058085130843503E-8</v>
      </c>
      <c r="F50" s="6">
        <v>5.62977031910031E-11</v>
      </c>
      <c r="G50" s="7">
        <f t="shared" si="9"/>
        <v>7.9231692677070847E-3</v>
      </c>
      <c r="H50" s="8">
        <f t="shared" si="10"/>
        <v>7.8928851033660541E-3</v>
      </c>
      <c r="I50" s="9">
        <f t="shared" si="11"/>
        <v>0.99999999999999978</v>
      </c>
    </row>
    <row r="51" spans="1:9" x14ac:dyDescent="0.25">
      <c r="A51" s="5">
        <v>6</v>
      </c>
      <c r="B51" s="6">
        <v>0.99865248809428497</v>
      </c>
      <c r="C51" s="6">
        <v>1.3463999215774401E-3</v>
      </c>
      <c r="D51" s="6">
        <v>1.11131800221754E-6</v>
      </c>
      <c r="E51" s="6">
        <v>6.6591908973201198E-10</v>
      </c>
      <c r="F51" s="6">
        <v>2.1657830969480101E-13</v>
      </c>
      <c r="G51" s="7">
        <f t="shared" si="9"/>
        <v>1.3486245562054579E-3</v>
      </c>
      <c r="H51" s="8">
        <f t="shared" si="10"/>
        <v>1.3475119057150264E-3</v>
      </c>
      <c r="I51" s="9">
        <f t="shared" si="11"/>
        <v>1.0000000000000002</v>
      </c>
    </row>
    <row r="52" spans="1:9" x14ac:dyDescent="0.25">
      <c r="A52" s="5">
        <v>7</v>
      </c>
      <c r="B52" s="6">
        <v>0.99979480943981403</v>
      </c>
      <c r="C52" s="6">
        <v>2.0515565075600699E-4</v>
      </c>
      <c r="D52" s="6">
        <v>3.4903101438185801E-8</v>
      </c>
      <c r="E52" s="6">
        <v>6.3270980746366804E-12</v>
      </c>
      <c r="F52" s="6">
        <v>1.0329036200264701E-15</v>
      </c>
      <c r="G52" s="7">
        <f t="shared" si="9"/>
        <v>2.0522547594430921E-4</v>
      </c>
      <c r="H52" s="8">
        <f t="shared" si="10"/>
        <v>2.0519056018597492E-4</v>
      </c>
      <c r="I52" s="9">
        <f t="shared" si="11"/>
        <v>0.99999999999999944</v>
      </c>
    </row>
    <row r="53" spans="1:9" x14ac:dyDescent="0.25">
      <c r="A53" s="5">
        <v>8</v>
      </c>
      <c r="B53" s="6">
        <v>0.99997263749732102</v>
      </c>
      <c r="C53" s="6">
        <v>2.7361608615793801E-5</v>
      </c>
      <c r="D53" s="6">
        <v>8.9401235213203799E-10</v>
      </c>
      <c r="E53" s="6">
        <v>5.0685181363512299E-14</v>
      </c>
      <c r="F53" s="6">
        <v>5.2490867195020997E-18</v>
      </c>
      <c r="G53" s="7">
        <f t="shared" si="9"/>
        <v>2.7363396792574602E-5</v>
      </c>
      <c r="H53" s="8">
        <f t="shared" si="10"/>
        <v>2.7362502678984768E-5</v>
      </c>
      <c r="I53" s="9">
        <f t="shared" si="11"/>
        <v>0.99999999999999989</v>
      </c>
    </row>
    <row r="54" spans="1:9" x14ac:dyDescent="0.25">
      <c r="A54" s="5">
        <v>9</v>
      </c>
      <c r="B54" s="6">
        <v>0.99999689054083296</v>
      </c>
      <c r="C54" s="6">
        <v>3.1094414264985398E-6</v>
      </c>
      <c r="D54" s="6">
        <v>1.7740390709570199E-11</v>
      </c>
      <c r="E54" s="6">
        <v>3.2234706687530099E-16</v>
      </c>
      <c r="F54" s="6">
        <v>2.8213615408400499E-20</v>
      </c>
      <c r="G54" s="7">
        <f t="shared" si="9"/>
        <v>3.1094769082471127E-6</v>
      </c>
      <c r="H54" s="8">
        <f t="shared" si="10"/>
        <v>3.1094591670388638E-6</v>
      </c>
      <c r="I54" s="9">
        <f t="shared" si="11"/>
        <v>1</v>
      </c>
    </row>
    <row r="55" spans="1:9" x14ac:dyDescent="0.25">
      <c r="A55" s="5">
        <v>10</v>
      </c>
      <c r="B55" s="6">
        <v>0.999999710746587</v>
      </c>
      <c r="C55" s="6">
        <v>2.8925315989555502E-7</v>
      </c>
      <c r="D55" s="6">
        <v>2.5299170596651998E-13</v>
      </c>
      <c r="E55" s="6">
        <v>1.4948048837622901E-18</v>
      </c>
      <c r="F55" s="6">
        <v>1.6535452254007599E-22</v>
      </c>
      <c r="G55" s="7">
        <f t="shared" si="9"/>
        <v>2.8925366588345201E-7</v>
      </c>
      <c r="H55" s="8">
        <f t="shared" si="10"/>
        <v>2.8925341299945728E-7</v>
      </c>
      <c r="I55" s="9">
        <f t="shared" si="11"/>
        <v>0.99999999999999989</v>
      </c>
    </row>
    <row r="56" spans="1:9" x14ac:dyDescent="0.25">
      <c r="A56" s="5">
        <v>11</v>
      </c>
      <c r="B56" s="6">
        <v>0.99999997933902596</v>
      </c>
      <c r="C56" s="6">
        <v>2.0660971543888699E-8</v>
      </c>
      <c r="D56" s="6">
        <v>2.2953152463102199E-15</v>
      </c>
      <c r="E56" s="6">
        <v>4.3653593950580202E-21</v>
      </c>
      <c r="F56" s="6">
        <v>1.12741719913689E-24</v>
      </c>
      <c r="G56" s="7">
        <f t="shared" si="9"/>
        <v>2.0660976134532292E-8</v>
      </c>
      <c r="H56" s="8">
        <f t="shared" si="10"/>
        <v>2.0660974042741032E-8</v>
      </c>
      <c r="I56" s="9">
        <f t="shared" si="11"/>
        <v>0.99999999999999978</v>
      </c>
    </row>
    <row r="57" spans="1:9" x14ac:dyDescent="0.25">
      <c r="A57" s="5">
        <v>12</v>
      </c>
      <c r="B57" s="6">
        <v>0.99999999899214698</v>
      </c>
      <c r="C57" s="6">
        <v>1.0078524732609801E-9</v>
      </c>
      <c r="D57" s="6">
        <v>1.05532158149574E-17</v>
      </c>
      <c r="E57" s="6">
        <v>5.96994250209626E-24</v>
      </c>
      <c r="F57" s="6">
        <v>1.07373066584465E-26</v>
      </c>
      <c r="G57" s="7">
        <f t="shared" si="9"/>
        <v>1.0078524943674298E-9</v>
      </c>
      <c r="H57" s="8">
        <f t="shared" si="10"/>
        <v>1.0078530232604521E-9</v>
      </c>
      <c r="I57" s="9">
        <f t="shared" si="11"/>
        <v>0.99999999999999944</v>
      </c>
    </row>
    <row r="58" spans="1:9" x14ac:dyDescent="0.25">
      <c r="A58" s="5">
        <v>13</v>
      </c>
      <c r="B58" s="6">
        <v>0.99999999997480404</v>
      </c>
      <c r="C58" s="6">
        <v>2.5196312331267099E-11</v>
      </c>
      <c r="D58" s="6">
        <v>1.3959301269653201E-20</v>
      </c>
      <c r="E58" s="6">
        <v>0</v>
      </c>
      <c r="F58" s="6">
        <v>4.4738777743527204E-28</v>
      </c>
      <c r="G58" s="7">
        <f t="shared" si="9"/>
        <v>2.5196312359185705E-11</v>
      </c>
      <c r="H58" s="8">
        <f t="shared" si="10"/>
        <v>2.5195956432355615E-11</v>
      </c>
      <c r="I58" s="9">
        <f t="shared" si="11"/>
        <v>1.0000000000000004</v>
      </c>
    </row>
  </sheetData>
  <conditionalFormatting sqref="B6:F16">
    <cfRule type="colorScale" priority="2">
      <colorScale>
        <cfvo type="num" val="0"/>
        <cfvo type="num" val="1"/>
        <color rgb="FFFFFFFF"/>
        <color rgb="FF4F9A6E"/>
      </colorScale>
    </cfRule>
  </conditionalFormatting>
  <conditionalFormatting sqref="B20:F30">
    <cfRule type="colorScale" priority="3">
      <colorScale>
        <cfvo type="num" val="0"/>
        <cfvo type="num" val="1"/>
        <color rgb="FFFFFFFF"/>
        <color rgb="FF4F9A6E"/>
      </colorScale>
    </cfRule>
  </conditionalFormatting>
  <conditionalFormatting sqref="B34:F44">
    <cfRule type="colorScale" priority="4">
      <colorScale>
        <cfvo type="num" val="0"/>
        <cfvo type="num" val="1"/>
        <color rgb="FFFFFFFF"/>
        <color rgb="FF4F9A6E"/>
      </colorScale>
    </cfRule>
  </conditionalFormatting>
  <conditionalFormatting sqref="B48:F58">
    <cfRule type="colorScale" priority="5">
      <colorScale>
        <cfvo type="num" val="0"/>
        <cfvo type="num" val="1"/>
        <color rgb="FFFFFFFF"/>
        <color rgb="FF4F9A6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x14ac:dyDescent="0.25"/>
  <cols>
    <col min="1" max="1" width="9" customWidth="1"/>
    <col min="2" max="8" width="11" customWidth="1"/>
    <col min="9" max="9" width="14" customWidth="1"/>
    <col min="10" max="10" width="9" customWidth="1"/>
  </cols>
  <sheetData>
    <row r="1" spans="1:10" ht="16.5" x14ac:dyDescent="0.25">
      <c r="A1" s="1" t="s">
        <v>15</v>
      </c>
    </row>
    <row r="2" spans="1:10" x14ac:dyDescent="0.25">
      <c r="A2" s="2" t="s">
        <v>16</v>
      </c>
    </row>
    <row r="4" spans="1:10" x14ac:dyDescent="0.25">
      <c r="A4" s="3" t="s">
        <v>2</v>
      </c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17</v>
      </c>
      <c r="H5" s="4" t="s">
        <v>9</v>
      </c>
      <c r="I5" s="4" t="s">
        <v>10</v>
      </c>
      <c r="J5" s="4" t="s">
        <v>11</v>
      </c>
    </row>
    <row r="6" spans="1:10" x14ac:dyDescent="0.25">
      <c r="A6" s="5">
        <v>3</v>
      </c>
      <c r="B6" s="6">
        <v>1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7">
        <f t="shared" ref="H6:H13" si="0">1*C6+2*D6+3*E6+4*F6+5*G6</f>
        <v>0</v>
      </c>
      <c r="I6" s="8">
        <f t="shared" ref="I6:I13" si="1">1-B6</f>
        <v>0</v>
      </c>
      <c r="J6" s="9">
        <f t="shared" ref="J6:J13" si="2">SUM(B6:G6)</f>
        <v>1</v>
      </c>
    </row>
    <row r="7" spans="1:10" x14ac:dyDescent="0.25">
      <c r="A7" s="5">
        <v>4</v>
      </c>
      <c r="B7" s="6">
        <v>0.57345943503677599</v>
      </c>
      <c r="C7" s="6">
        <v>0.33643317853695798</v>
      </c>
      <c r="D7" s="6">
        <v>7.9883400069175006E-2</v>
      </c>
      <c r="E7" s="6">
        <v>9.6197058096808598E-3</v>
      </c>
      <c r="F7" s="6">
        <v>5.8950244284255104E-4</v>
      </c>
      <c r="G7" s="6">
        <v>1.4778104567820501E-5</v>
      </c>
      <c r="H7" s="7">
        <f t="shared" si="0"/>
        <v>0.5274909963985599</v>
      </c>
      <c r="I7" s="8">
        <f t="shared" si="1"/>
        <v>0.42654056496322401</v>
      </c>
      <c r="J7" s="9">
        <f t="shared" si="2"/>
        <v>1.0000000000000002</v>
      </c>
    </row>
    <row r="8" spans="1:10" x14ac:dyDescent="0.25">
      <c r="A8" s="5">
        <v>5</v>
      </c>
      <c r="B8" s="6">
        <v>0.21895294516463901</v>
      </c>
      <c r="C8" s="6">
        <v>0.38532945084569198</v>
      </c>
      <c r="D8" s="6">
        <v>0.27533903671763499</v>
      </c>
      <c r="E8" s="6">
        <v>0.100237476646899</v>
      </c>
      <c r="F8" s="6">
        <v>1.8697916350933499E-2</v>
      </c>
      <c r="G8" s="6">
        <v>1.4431742742012201E-3</v>
      </c>
      <c r="H8" s="7">
        <f t="shared" si="0"/>
        <v>1.3187274909963991</v>
      </c>
      <c r="I8" s="8">
        <f t="shared" si="1"/>
        <v>0.78104705483536097</v>
      </c>
      <c r="J8" s="9">
        <f t="shared" si="2"/>
        <v>0.99999999999999967</v>
      </c>
    </row>
    <row r="9" spans="1:10" x14ac:dyDescent="0.25">
      <c r="A9" s="5">
        <v>6</v>
      </c>
      <c r="B9" s="6">
        <v>6.4810764168248103E-2</v>
      </c>
      <c r="C9" s="6">
        <v>0.23192132194103901</v>
      </c>
      <c r="D9" s="6">
        <v>0.33804517197023398</v>
      </c>
      <c r="E9" s="6">
        <v>0.25225114680697402</v>
      </c>
      <c r="F9" s="6">
        <v>9.7212670897052794E-2</v>
      </c>
      <c r="G9" s="6">
        <v>1.5758924216451999E-2</v>
      </c>
      <c r="H9" s="7">
        <f t="shared" si="0"/>
        <v>2.1324104109729003</v>
      </c>
      <c r="I9" s="8">
        <f t="shared" si="1"/>
        <v>0.93518923583175195</v>
      </c>
      <c r="J9" s="9">
        <f t="shared" si="2"/>
        <v>0.99999999999999989</v>
      </c>
    </row>
    <row r="10" spans="1:10" x14ac:dyDescent="0.25">
      <c r="A10" s="5">
        <v>7</v>
      </c>
      <c r="B10" s="6">
        <v>1.6435238544254601E-2</v>
      </c>
      <c r="C10" s="6">
        <v>0.10163087894315199</v>
      </c>
      <c r="D10" s="6">
        <v>0.25675271048725601</v>
      </c>
      <c r="E10" s="6">
        <v>0.33369906768080398</v>
      </c>
      <c r="F10" s="6">
        <v>0.22575380476498799</v>
      </c>
      <c r="G10" s="6">
        <v>6.5728299579545499E-2</v>
      </c>
      <c r="H10" s="7">
        <f t="shared" si="0"/>
        <v>2.8478902199177556</v>
      </c>
      <c r="I10" s="8">
        <f t="shared" si="1"/>
        <v>0.98356476145574545</v>
      </c>
      <c r="J10" s="9">
        <f t="shared" si="2"/>
        <v>1</v>
      </c>
    </row>
    <row r="11" spans="1:10" x14ac:dyDescent="0.25">
      <c r="A11" s="5">
        <v>8</v>
      </c>
      <c r="B11" s="6">
        <v>3.79693961824274E-3</v>
      </c>
      <c r="C11" s="6">
        <v>3.7205043703893097E-2</v>
      </c>
      <c r="D11" s="6">
        <v>0.149342561702001</v>
      </c>
      <c r="E11" s="6">
        <v>0.30997700771070902</v>
      </c>
      <c r="F11" s="6">
        <v>0.33706717491064497</v>
      </c>
      <c r="G11" s="6">
        <v>0.16261127235450901</v>
      </c>
      <c r="H11" s="7">
        <f t="shared" si="0"/>
        <v>3.427146251655147</v>
      </c>
      <c r="I11" s="8">
        <f t="shared" si="1"/>
        <v>0.99620306038175721</v>
      </c>
      <c r="J11" s="9">
        <f t="shared" si="2"/>
        <v>0.99999999999999989</v>
      </c>
    </row>
    <row r="12" spans="1:10" x14ac:dyDescent="0.25">
      <c r="A12" s="5">
        <v>9</v>
      </c>
      <c r="B12" s="6">
        <v>8.29777786806756E-4</v>
      </c>
      <c r="C12" s="6">
        <v>1.22264614310166E-2</v>
      </c>
      <c r="D12" s="6">
        <v>7.40241432120885E-2</v>
      </c>
      <c r="E12" s="6">
        <v>0.23292611267994401</v>
      </c>
      <c r="F12" s="6">
        <v>0.38554833521922999</v>
      </c>
      <c r="G12" s="6">
        <v>0.294445169670914</v>
      </c>
      <c r="H12" s="7">
        <f t="shared" si="0"/>
        <v>3.8734722751265154</v>
      </c>
      <c r="I12" s="8">
        <f t="shared" si="1"/>
        <v>0.99917022221319329</v>
      </c>
      <c r="J12" s="9">
        <f t="shared" si="2"/>
        <v>0.99999999999999978</v>
      </c>
    </row>
    <row r="13" spans="1:10" x14ac:dyDescent="0.25">
      <c r="A13" s="5">
        <v>10</v>
      </c>
      <c r="B13" s="6">
        <v>1.75603810609511E-4</v>
      </c>
      <c r="C13" s="6">
        <v>3.7564909290791898E-3</v>
      </c>
      <c r="D13" s="6">
        <v>3.3211910650482498E-2</v>
      </c>
      <c r="E13" s="6">
        <v>0.15311151362321099</v>
      </c>
      <c r="F13" s="6">
        <v>0.37188721807056402</v>
      </c>
      <c r="G13" s="6">
        <v>0.43785726291605298</v>
      </c>
      <c r="H13" s="7">
        <f t="shared" si="0"/>
        <v>4.2063500399621985</v>
      </c>
      <c r="I13" s="8">
        <f t="shared" si="1"/>
        <v>0.99982439618939045</v>
      </c>
      <c r="J13" s="9">
        <f t="shared" si="2"/>
        <v>0.99999999999999922</v>
      </c>
    </row>
    <row r="15" spans="1:10" x14ac:dyDescent="0.25">
      <c r="A15" s="3" t="s">
        <v>12</v>
      </c>
    </row>
    <row r="16" spans="1:10" x14ac:dyDescent="0.25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17</v>
      </c>
      <c r="H16" s="4" t="s">
        <v>9</v>
      </c>
      <c r="I16" s="4" t="s">
        <v>10</v>
      </c>
      <c r="J16" s="4" t="s">
        <v>11</v>
      </c>
    </row>
    <row r="17" spans="1:10" x14ac:dyDescent="0.25">
      <c r="A17" s="5">
        <v>3</v>
      </c>
      <c r="B17" s="6">
        <v>8.0086167389064294E-2</v>
      </c>
      <c r="C17" s="6">
        <v>0.26179909346395902</v>
      </c>
      <c r="D17" s="6">
        <v>0.344234402998853</v>
      </c>
      <c r="E17" s="6">
        <v>0.22776234121321201</v>
      </c>
      <c r="F17" s="6">
        <v>7.5909603658213101E-2</v>
      </c>
      <c r="G17" s="6">
        <v>1.0208391276698699E-2</v>
      </c>
      <c r="H17" s="7">
        <f t="shared" ref="H17:H24" si="3">1*C17+2*D17+3*E17+4*F17+5*G17</f>
        <v>1.9882352941176467</v>
      </c>
      <c r="I17" s="8">
        <f t="shared" ref="I17:I24" si="4">1-B17</f>
        <v>0.91991383261093573</v>
      </c>
      <c r="J17" s="9">
        <f t="shared" ref="J17:J24" si="5">SUM(B17:G17)</f>
        <v>1</v>
      </c>
    </row>
    <row r="18" spans="1:10" x14ac:dyDescent="0.25">
      <c r="A18" s="5">
        <v>4</v>
      </c>
      <c r="B18" s="6">
        <v>1.26251901226817E-2</v>
      </c>
      <c r="C18" s="6">
        <v>8.77382762134572E-2</v>
      </c>
      <c r="D18" s="6">
        <v>0.24496140409942499</v>
      </c>
      <c r="E18" s="6">
        <v>0.34362154963575697</v>
      </c>
      <c r="F18" s="6">
        <v>0.24230503752480101</v>
      </c>
      <c r="G18" s="6">
        <v>6.8748542403879204E-2</v>
      </c>
      <c r="H18" s="7">
        <f t="shared" si="3"/>
        <v>2.921488595438178</v>
      </c>
      <c r="I18" s="8">
        <f t="shared" si="4"/>
        <v>0.98737480987731829</v>
      </c>
      <c r="J18" s="9">
        <f t="shared" si="5"/>
        <v>1.0000000000000011</v>
      </c>
    </row>
    <row r="19" spans="1:10" x14ac:dyDescent="0.25">
      <c r="A19" s="5">
        <v>5</v>
      </c>
      <c r="B19" s="6">
        <v>1.18056187479337E-2</v>
      </c>
      <c r="C19" s="6">
        <v>8.4437029075412395E-2</v>
      </c>
      <c r="D19" s="6">
        <v>0.24148187214177</v>
      </c>
      <c r="E19" s="6">
        <v>0.34518651480944501</v>
      </c>
      <c r="F19" s="6">
        <v>0.246628433230207</v>
      </c>
      <c r="G19" s="6">
        <v>7.0460531995231404E-2</v>
      </c>
      <c r="H19" s="7">
        <f t="shared" si="3"/>
        <v>2.9417767106842723</v>
      </c>
      <c r="I19" s="8">
        <f t="shared" si="4"/>
        <v>0.98819438125206627</v>
      </c>
      <c r="J19" s="9">
        <f t="shared" si="5"/>
        <v>0.99999999999999944</v>
      </c>
    </row>
    <row r="20" spans="1:10" x14ac:dyDescent="0.25">
      <c r="A20" s="5">
        <v>6</v>
      </c>
      <c r="B20" s="6">
        <v>2.99245618450612E-2</v>
      </c>
      <c r="C20" s="6">
        <v>0.15083877448019201</v>
      </c>
      <c r="D20" s="6">
        <v>0.30726665314190099</v>
      </c>
      <c r="E20" s="6">
        <v>0.31535223820237002</v>
      </c>
      <c r="F20" s="6">
        <v>0.162819871526308</v>
      </c>
      <c r="G20" s="6">
        <v>3.3797900804168599E-2</v>
      </c>
      <c r="H20" s="7">
        <f t="shared" si="3"/>
        <v>2.5316977854971792</v>
      </c>
      <c r="I20" s="8">
        <f t="shared" si="4"/>
        <v>0.9700754381549388</v>
      </c>
      <c r="J20" s="9">
        <f t="shared" si="5"/>
        <v>1.0000000000000009</v>
      </c>
    </row>
    <row r="21" spans="1:10" x14ac:dyDescent="0.25">
      <c r="A21" s="5">
        <v>7</v>
      </c>
      <c r="B21" s="6">
        <v>8.0670751103464999E-2</v>
      </c>
      <c r="C21" s="6">
        <v>0.25705718897420099</v>
      </c>
      <c r="D21" s="6">
        <v>0.34061612323012003</v>
      </c>
      <c r="E21" s="6">
        <v>0.23091895103994001</v>
      </c>
      <c r="F21" s="6">
        <v>7.9614183878499195E-2</v>
      </c>
      <c r="G21" s="6">
        <v>1.11228017737754E-2</v>
      </c>
      <c r="H21" s="7">
        <f t="shared" si="3"/>
        <v>2.0051170329371351</v>
      </c>
      <c r="I21" s="8">
        <f t="shared" si="4"/>
        <v>0.919329248896535</v>
      </c>
      <c r="J21" s="9">
        <f t="shared" si="5"/>
        <v>1.0000000000000004</v>
      </c>
    </row>
    <row r="22" spans="1:10" x14ac:dyDescent="0.25">
      <c r="A22" s="5">
        <v>8</v>
      </c>
      <c r="B22" s="6">
        <v>0.174205024500278</v>
      </c>
      <c r="C22" s="6">
        <v>0.35014215382020902</v>
      </c>
      <c r="D22" s="6">
        <v>0.30408549881733699</v>
      </c>
      <c r="E22" s="6">
        <v>0.136924683879106</v>
      </c>
      <c r="F22" s="6">
        <v>3.16584724121486E-2</v>
      </c>
      <c r="G22" s="6">
        <v>2.9841665709207802E-3</v>
      </c>
      <c r="H22" s="7">
        <f t="shared" si="3"/>
        <v>1.5106419255953993</v>
      </c>
      <c r="I22" s="8">
        <f t="shared" si="4"/>
        <v>0.82579497549972203</v>
      </c>
      <c r="J22" s="9">
        <f t="shared" si="5"/>
        <v>0.99999999999999956</v>
      </c>
    </row>
    <row r="23" spans="1:10" x14ac:dyDescent="0.25">
      <c r="A23" s="5">
        <v>9</v>
      </c>
      <c r="B23" s="6">
        <v>0.30156816907787798</v>
      </c>
      <c r="C23" s="6">
        <v>0.38951885631253003</v>
      </c>
      <c r="D23" s="6">
        <v>0.22763097346153999</v>
      </c>
      <c r="E23" s="6">
        <v>6.9564667491362003E-2</v>
      </c>
      <c r="F23" s="6">
        <v>1.1004251844344099E-2</v>
      </c>
      <c r="G23" s="6">
        <v>7.1308181234637101E-4</v>
      </c>
      <c r="H23" s="7">
        <f t="shared" si="3"/>
        <v>1.1010572221488044</v>
      </c>
      <c r="I23" s="8">
        <f t="shared" si="4"/>
        <v>0.69843183092212202</v>
      </c>
      <c r="J23" s="9">
        <f t="shared" si="5"/>
        <v>1.0000000000000004</v>
      </c>
    </row>
    <row r="24" spans="1:10" x14ac:dyDescent="0.25">
      <c r="A24" s="5">
        <v>10</v>
      </c>
      <c r="B24" s="6">
        <v>0.44154960214816502</v>
      </c>
      <c r="C24" s="6">
        <v>0.37264823194900498</v>
      </c>
      <c r="D24" s="6">
        <v>0.15030379249908299</v>
      </c>
      <c r="E24" s="6">
        <v>3.18308417893583E-2</v>
      </c>
      <c r="F24" s="6">
        <v>3.5081241707629802E-3</v>
      </c>
      <c r="G24" s="6">
        <v>1.59407443625408E-4</v>
      </c>
      <c r="H24" s="7">
        <f t="shared" si="3"/>
        <v>0.78357787621642494</v>
      </c>
      <c r="I24" s="8">
        <f t="shared" si="4"/>
        <v>0.55845039785183492</v>
      </c>
      <c r="J24" s="9">
        <f t="shared" si="5"/>
        <v>0.99999999999999978</v>
      </c>
    </row>
    <row r="26" spans="1:10" x14ac:dyDescent="0.25">
      <c r="A26" s="3" t="s">
        <v>13</v>
      </c>
    </row>
    <row r="27" spans="1:10" x14ac:dyDescent="0.25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  <c r="G27" s="4" t="s">
        <v>17</v>
      </c>
      <c r="H27" s="4" t="s">
        <v>9</v>
      </c>
      <c r="I27" s="4" t="s">
        <v>10</v>
      </c>
      <c r="J27" s="4" t="s">
        <v>11</v>
      </c>
    </row>
    <row r="28" spans="1:10" x14ac:dyDescent="0.25">
      <c r="A28" s="5">
        <v>3</v>
      </c>
      <c r="B28" s="6">
        <v>1.8446315113006501E-2</v>
      </c>
      <c r="C28" s="6">
        <v>0.112474355431189</v>
      </c>
      <c r="D28" s="6">
        <v>0.27494629142650501</v>
      </c>
      <c r="E28" s="6">
        <v>0.33674530577176998</v>
      </c>
      <c r="F28" s="6">
        <v>0.206600340416567</v>
      </c>
      <c r="G28" s="6">
        <v>5.07873918409621E-2</v>
      </c>
      <c r="H28" s="7">
        <f t="shared" ref="H28:H35" si="6">1*C28+2*D28+3*E28+4*F28+5*G28</f>
        <v>2.7529411764705878</v>
      </c>
      <c r="I28" s="8">
        <f t="shared" ref="I28:I35" si="7">1-B28</f>
        <v>0.98155368488699346</v>
      </c>
      <c r="J28" s="9">
        <f t="shared" ref="J28:J35" si="8">SUM(B28:G28)</f>
        <v>0.99999999999999967</v>
      </c>
    </row>
    <row r="29" spans="1:10" x14ac:dyDescent="0.25">
      <c r="A29" s="5">
        <v>4</v>
      </c>
      <c r="B29" s="6">
        <v>0.170770708738303</v>
      </c>
      <c r="C29" s="6">
        <v>0.35859211048266199</v>
      </c>
      <c r="D29" s="6">
        <v>0.30642924088062601</v>
      </c>
      <c r="E29" s="6">
        <v>0.132642120400257</v>
      </c>
      <c r="F29" s="6">
        <v>2.9006771223558499E-2</v>
      </c>
      <c r="G29" s="6">
        <v>2.5590482745929699E-3</v>
      </c>
      <c r="H29" s="7">
        <f t="shared" si="6"/>
        <v>1.4981992797118837</v>
      </c>
      <c r="I29" s="8">
        <f t="shared" si="7"/>
        <v>0.82922929126169698</v>
      </c>
      <c r="J29" s="9">
        <f t="shared" si="8"/>
        <v>0.99999999999999944</v>
      </c>
    </row>
    <row r="30" spans="1:10" x14ac:dyDescent="0.25">
      <c r="A30" s="5">
        <v>5</v>
      </c>
      <c r="B30" s="6">
        <v>0.45851230758570499</v>
      </c>
      <c r="C30" s="6">
        <v>0.38195463375371702</v>
      </c>
      <c r="D30" s="6">
        <v>0.13331837193210699</v>
      </c>
      <c r="E30" s="6">
        <v>2.39399307674617E-2</v>
      </c>
      <c r="F30" s="6">
        <v>2.1931129906705002E-3</v>
      </c>
      <c r="G30" s="6">
        <v>8.1642970339389895E-5</v>
      </c>
      <c r="H30" s="7">
        <f t="shared" si="6"/>
        <v>0.72959183673469508</v>
      </c>
      <c r="I30" s="8">
        <f t="shared" si="7"/>
        <v>0.54148769241429506</v>
      </c>
      <c r="J30" s="9">
        <f t="shared" si="8"/>
        <v>1.0000000000000007</v>
      </c>
    </row>
    <row r="31" spans="1:10" x14ac:dyDescent="0.25">
      <c r="A31" s="5">
        <v>6</v>
      </c>
      <c r="B31" s="6">
        <v>0.71060061154536502</v>
      </c>
      <c r="C31" s="6">
        <v>0.2479400046053</v>
      </c>
      <c r="D31" s="6">
        <v>3.8244493387310702E-2</v>
      </c>
      <c r="E31" s="6">
        <v>3.08470975546029E-3</v>
      </c>
      <c r="F31" s="6">
        <v>1.28001344459369E-4</v>
      </c>
      <c r="G31" s="6">
        <v>2.17936210526082E-6</v>
      </c>
      <c r="H31" s="7">
        <f t="shared" si="6"/>
        <v>0.33420602283466605</v>
      </c>
      <c r="I31" s="8">
        <f t="shared" si="7"/>
        <v>0.28939938845463498</v>
      </c>
      <c r="J31" s="9">
        <f t="shared" si="8"/>
        <v>1.0000000000000007</v>
      </c>
    </row>
    <row r="32" spans="1:10" x14ac:dyDescent="0.25">
      <c r="A32" s="5">
        <v>7</v>
      </c>
      <c r="B32" s="6">
        <v>0.86309609555730005</v>
      </c>
      <c r="C32" s="6">
        <v>0.12742843937981599</v>
      </c>
      <c r="D32" s="6">
        <v>9.1254226464650302E-3</v>
      </c>
      <c r="E32" s="6">
        <v>3.4329362129291202E-4</v>
      </c>
      <c r="F32" s="6">
        <v>6.6942120715902097E-6</v>
      </c>
      <c r="G32" s="6">
        <v>5.45830539426711E-8</v>
      </c>
      <c r="H32" s="7">
        <f t="shared" si="6"/>
        <v>0.14673621530018086</v>
      </c>
      <c r="I32" s="8">
        <f t="shared" si="7"/>
        <v>0.13690390444269995</v>
      </c>
      <c r="J32" s="9">
        <f t="shared" si="8"/>
        <v>0.99999999999999944</v>
      </c>
    </row>
    <row r="33" spans="1:10" x14ac:dyDescent="0.25">
      <c r="A33" s="5">
        <v>8</v>
      </c>
      <c r="B33" s="6">
        <v>0.93991455195044704</v>
      </c>
      <c r="C33" s="6">
        <v>5.8029705668313399E-2</v>
      </c>
      <c r="D33" s="6">
        <v>2.01965274250242E-3</v>
      </c>
      <c r="E33" s="6">
        <v>3.5752555242371997E-5</v>
      </c>
      <c r="F33" s="6">
        <v>3.35733057158291E-7</v>
      </c>
      <c r="G33" s="6">
        <v>1.35043731028675E-9</v>
      </c>
      <c r="H33" s="7">
        <f t="shared" si="6"/>
        <v>6.2177618503460548E-2</v>
      </c>
      <c r="I33" s="8">
        <f t="shared" si="7"/>
        <v>6.0085448049552959E-2</v>
      </c>
      <c r="J33" s="9">
        <f t="shared" si="8"/>
        <v>0.99999999999999967</v>
      </c>
    </row>
    <row r="34" spans="1:10" x14ac:dyDescent="0.25">
      <c r="A34" s="5">
        <v>9</v>
      </c>
      <c r="B34" s="6">
        <v>0.97497965034520995</v>
      </c>
      <c r="C34" s="6">
        <v>2.4577703725393699E-2</v>
      </c>
      <c r="D34" s="6">
        <v>4.39042608138402E-4</v>
      </c>
      <c r="E34" s="6">
        <v>3.5863817809946598E-6</v>
      </c>
      <c r="F34" s="6">
        <v>1.6905853347886201E-8</v>
      </c>
      <c r="G34" s="6">
        <v>3.3623400105408098E-11</v>
      </c>
      <c r="H34" s="7">
        <f t="shared" si="6"/>
        <v>2.5466615878543878E-2</v>
      </c>
      <c r="I34" s="8">
        <f t="shared" si="7"/>
        <v>2.5020349654790053E-2</v>
      </c>
      <c r="J34" s="9">
        <f t="shared" si="8"/>
        <v>0.99999999999999989</v>
      </c>
    </row>
    <row r="35" spans="1:10" x14ac:dyDescent="0.25">
      <c r="A35" s="5">
        <v>10</v>
      </c>
      <c r="B35" s="6">
        <v>0.99002591491423997</v>
      </c>
      <c r="C35" s="6">
        <v>9.8767984793663201E-3</v>
      </c>
      <c r="D35" s="6">
        <v>9.6936944022442596E-5</v>
      </c>
      <c r="E35" s="6">
        <v>3.4876344724124098E-7</v>
      </c>
      <c r="F35" s="6">
        <v>8.9808204663290403E-10</v>
      </c>
      <c r="G35" s="6">
        <v>8.4202052181787696E-13</v>
      </c>
      <c r="H35" s="7">
        <f t="shared" si="6"/>
        <v>1.0071722254291218E-2</v>
      </c>
      <c r="I35" s="8">
        <f t="shared" si="7"/>
        <v>9.9740850857600316E-3</v>
      </c>
      <c r="J35" s="9">
        <f t="shared" si="8"/>
        <v>1</v>
      </c>
    </row>
    <row r="37" spans="1:10" x14ac:dyDescent="0.25">
      <c r="A37" s="3" t="s">
        <v>14</v>
      </c>
    </row>
    <row r="38" spans="1:10" x14ac:dyDescent="0.25">
      <c r="A38" s="4" t="s">
        <v>3</v>
      </c>
      <c r="B38" s="4" t="s">
        <v>4</v>
      </c>
      <c r="C38" s="4" t="s">
        <v>5</v>
      </c>
      <c r="D38" s="4" t="s">
        <v>6</v>
      </c>
      <c r="E38" s="4" t="s">
        <v>7</v>
      </c>
      <c r="F38" s="4" t="s">
        <v>8</v>
      </c>
      <c r="G38" s="4" t="s">
        <v>17</v>
      </c>
      <c r="H38" s="4" t="s">
        <v>9</v>
      </c>
      <c r="I38" s="4" t="s">
        <v>10</v>
      </c>
      <c r="J38" s="4" t="s">
        <v>11</v>
      </c>
    </row>
    <row r="39" spans="1:10" x14ac:dyDescent="0.25">
      <c r="A39" s="5">
        <v>3</v>
      </c>
      <c r="B39" s="6">
        <v>0.76720728640135605</v>
      </c>
      <c r="C39" s="6">
        <v>0.20816933111059499</v>
      </c>
      <c r="D39" s="6">
        <v>2.3255470792027999E-2</v>
      </c>
      <c r="E39" s="6">
        <v>1.32884463240752E-3</v>
      </c>
      <c r="F39" s="6">
        <v>3.8612498172825497E-5</v>
      </c>
      <c r="G39" s="6">
        <v>4.5456543987334502E-7</v>
      </c>
      <c r="H39" s="7">
        <f t="shared" ref="H39:H46" si="9">1*C39+2*D39+3*E39+4*F39+5*G39</f>
        <v>0.25882352941176429</v>
      </c>
      <c r="I39" s="8">
        <f t="shared" ref="I39:I46" si="10">1-B39</f>
        <v>0.23279271359864395</v>
      </c>
      <c r="J39" s="9">
        <f t="shared" ref="J39:J46" si="11">SUM(B39:G39)</f>
        <v>0.99999999999999922</v>
      </c>
    </row>
    <row r="40" spans="1:10" x14ac:dyDescent="0.25">
      <c r="A40" s="5">
        <v>4</v>
      </c>
      <c r="B40" s="6">
        <v>0.94839644110965204</v>
      </c>
      <c r="C40" s="6">
        <v>5.0401300837357103E-2</v>
      </c>
      <c r="D40" s="6">
        <v>1.1870468440304701E-3</v>
      </c>
      <c r="E40" s="6">
        <v>1.51111710069091E-5</v>
      </c>
      <c r="F40" s="6">
        <v>9.9776825191062106E-8</v>
      </c>
      <c r="G40" s="6">
        <v>2.6112821181029702E-10</v>
      </c>
      <c r="H40" s="7">
        <f t="shared" si="9"/>
        <v>5.2821128451380595E-2</v>
      </c>
      <c r="I40" s="8">
        <f t="shared" si="10"/>
        <v>5.1603558890347956E-2</v>
      </c>
      <c r="J40" s="9">
        <f t="shared" si="11"/>
        <v>1</v>
      </c>
    </row>
    <row r="41" spans="1:10" x14ac:dyDescent="0.25">
      <c r="A41" s="5">
        <v>5</v>
      </c>
      <c r="B41" s="6">
        <v>0.99014645864073203</v>
      </c>
      <c r="C41" s="6">
        <v>9.8032812795104205E-3</v>
      </c>
      <c r="D41" s="6">
        <v>5.0100215241359598E-5</v>
      </c>
      <c r="E41" s="6">
        <v>1.5958355530613201E-7</v>
      </c>
      <c r="F41" s="6">
        <v>2.8082876048815398E-10</v>
      </c>
      <c r="G41" s="6">
        <v>1.3195109337217799E-13</v>
      </c>
      <c r="H41" s="7">
        <f t="shared" si="9"/>
        <v>9.9039615846338545E-3</v>
      </c>
      <c r="I41" s="8">
        <f t="shared" si="10"/>
        <v>9.8535413592679699E-3</v>
      </c>
      <c r="J41" s="9">
        <f t="shared" si="11"/>
        <v>0.99999999999999989</v>
      </c>
    </row>
    <row r="42" spans="1:10" x14ac:dyDescent="0.25">
      <c r="A42" s="5">
        <v>6</v>
      </c>
      <c r="B42" s="6">
        <v>0.99831607316729398</v>
      </c>
      <c r="C42" s="6">
        <v>1.68207463495279E-3</v>
      </c>
      <c r="D42" s="6">
        <v>1.85053403802614E-6</v>
      </c>
      <c r="E42" s="6">
        <v>1.66263233642531E-9</v>
      </c>
      <c r="F42" s="6">
        <v>1.0826939523589399E-12</v>
      </c>
      <c r="G42" s="6">
        <v>3.9519223012473297E-17</v>
      </c>
      <c r="H42" s="7">
        <f t="shared" si="9"/>
        <v>1.6857806952568248E-3</v>
      </c>
      <c r="I42" s="8">
        <f t="shared" si="10"/>
        <v>1.6839268327060175E-3</v>
      </c>
      <c r="J42" s="9">
        <f t="shared" si="11"/>
        <v>0.99999999999999978</v>
      </c>
    </row>
    <row r="43" spans="1:10" x14ac:dyDescent="0.25">
      <c r="A43" s="5">
        <v>7</v>
      </c>
      <c r="B43" s="6">
        <v>0.99974352634272901</v>
      </c>
      <c r="C43" s="6">
        <v>2.56415485430852E-4</v>
      </c>
      <c r="D43" s="6">
        <v>5.8156028314159303E-8</v>
      </c>
      <c r="E43" s="6">
        <v>1.58074161503914E-11</v>
      </c>
      <c r="F43" s="6">
        <v>5.1645181001323497E-15</v>
      </c>
      <c r="G43" s="6">
        <v>0</v>
      </c>
      <c r="H43" s="7">
        <f t="shared" si="9"/>
        <v>2.5653184493038683E-4</v>
      </c>
      <c r="I43" s="8">
        <f t="shared" si="10"/>
        <v>2.5647365727099469E-4</v>
      </c>
      <c r="J43" s="9">
        <f t="shared" si="11"/>
        <v>1.0000000000000009</v>
      </c>
    </row>
    <row r="44" spans="1:10" x14ac:dyDescent="0.25">
      <c r="A44" s="5">
        <v>8</v>
      </c>
      <c r="B44" s="6">
        <v>0.99996579724415702</v>
      </c>
      <c r="C44" s="6">
        <v>3.4201265822778997E-5</v>
      </c>
      <c r="D44" s="6">
        <v>1.4898939264241901E-9</v>
      </c>
      <c r="E44" s="6">
        <v>1.26660462541586E-13</v>
      </c>
      <c r="F44" s="6">
        <v>2.6245433597510501E-17</v>
      </c>
      <c r="G44" s="6">
        <v>0</v>
      </c>
      <c r="H44" s="7">
        <f t="shared" si="9"/>
        <v>3.4204245990718219E-5</v>
      </c>
      <c r="I44" s="8">
        <f t="shared" si="10"/>
        <v>3.4202755842982491E-5</v>
      </c>
      <c r="J44" s="9">
        <f t="shared" si="11"/>
        <v>1.0000000000000002</v>
      </c>
    </row>
    <row r="45" spans="1:10" x14ac:dyDescent="0.25">
      <c r="A45" s="5">
        <v>9</v>
      </c>
      <c r="B45" s="6">
        <v>0.99999611318343296</v>
      </c>
      <c r="C45" s="6">
        <v>3.8867869998670396E-6</v>
      </c>
      <c r="D45" s="6">
        <v>2.9566512263752701E-11</v>
      </c>
      <c r="E45" s="6">
        <v>8.0558553103416998E-16</v>
      </c>
      <c r="F45" s="6">
        <v>1.4106807704200301E-19</v>
      </c>
      <c r="G45" s="6">
        <v>0</v>
      </c>
      <c r="H45" s="7">
        <f t="shared" si="9"/>
        <v>3.8868461353088883E-6</v>
      </c>
      <c r="I45" s="8">
        <f t="shared" si="10"/>
        <v>3.8868165670447041E-6</v>
      </c>
      <c r="J45" s="9">
        <f t="shared" si="11"/>
        <v>1.0000000000000002</v>
      </c>
    </row>
    <row r="46" spans="1:10" x14ac:dyDescent="0.25">
      <c r="A46" s="5">
        <v>10</v>
      </c>
      <c r="B46" s="6">
        <v>0.99999963843333906</v>
      </c>
      <c r="C46" s="6">
        <v>3.6156623904488998E-7</v>
      </c>
      <c r="D46" s="6">
        <v>4.2164910791886901E-13</v>
      </c>
      <c r="E46" s="6">
        <v>3.7353586641803297E-18</v>
      </c>
      <c r="F46" s="6">
        <v>8.2677261270038097E-22</v>
      </c>
      <c r="G46" s="6">
        <v>0</v>
      </c>
      <c r="H46" s="7">
        <f t="shared" si="9"/>
        <v>3.6156708235431518E-7</v>
      </c>
      <c r="I46" s="8">
        <f t="shared" si="10"/>
        <v>3.6156666094466772E-7</v>
      </c>
      <c r="J46" s="9">
        <f t="shared" si="11"/>
        <v>0.99999999999999978</v>
      </c>
    </row>
  </sheetData>
  <conditionalFormatting sqref="B6:G13">
    <cfRule type="colorScale" priority="2">
      <colorScale>
        <cfvo type="num" val="0"/>
        <cfvo type="num" val="1"/>
        <color rgb="FFFFFFFF"/>
        <color rgb="FF4F9A6E"/>
      </colorScale>
    </cfRule>
  </conditionalFormatting>
  <conditionalFormatting sqref="B17:G24">
    <cfRule type="colorScale" priority="3">
      <colorScale>
        <cfvo type="num" val="0"/>
        <cfvo type="num" val="1"/>
        <color rgb="FFFFFFFF"/>
        <color rgb="FF4F9A6E"/>
      </colorScale>
    </cfRule>
  </conditionalFormatting>
  <conditionalFormatting sqref="B28:G35">
    <cfRule type="colorScale" priority="4">
      <colorScale>
        <cfvo type="num" val="0"/>
        <cfvo type="num" val="1"/>
        <color rgb="FFFFFFFF"/>
        <color rgb="FF4F9A6E"/>
      </colorScale>
    </cfRule>
  </conditionalFormatting>
  <conditionalFormatting sqref="B39:G46">
    <cfRule type="colorScale" priority="5">
      <colorScale>
        <cfvo type="num" val="0"/>
        <cfvo type="num" val="1"/>
        <color rgb="FFFFFFFF"/>
        <color rgb="FF4F9A6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7" sqref="B27"/>
    </sheetView>
  </sheetViews>
  <sheetFormatPr defaultColWidth="8.7109375" defaultRowHeight="15" x14ac:dyDescent="0.25"/>
  <cols>
    <col min="1" max="1" width="9" customWidth="1"/>
    <col min="2" max="9" width="11" customWidth="1"/>
    <col min="10" max="10" width="14" customWidth="1"/>
    <col min="11" max="11" width="9" customWidth="1"/>
  </cols>
  <sheetData>
    <row r="1" spans="1:11" ht="16.5" x14ac:dyDescent="0.25">
      <c r="A1" s="1" t="s">
        <v>18</v>
      </c>
    </row>
    <row r="2" spans="1:11" x14ac:dyDescent="0.25">
      <c r="A2" s="2" t="s">
        <v>19</v>
      </c>
    </row>
    <row r="4" spans="1:11" x14ac:dyDescent="0.25">
      <c r="A4" s="3" t="s">
        <v>2</v>
      </c>
    </row>
    <row r="5" spans="1:1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17</v>
      </c>
      <c r="H5" s="4" t="s">
        <v>20</v>
      </c>
      <c r="I5" s="4" t="s">
        <v>9</v>
      </c>
      <c r="J5" s="4" t="s">
        <v>10</v>
      </c>
      <c r="K5" s="4" t="s">
        <v>11</v>
      </c>
    </row>
    <row r="6" spans="1:11" x14ac:dyDescent="0.25">
      <c r="A6" s="5">
        <v>3</v>
      </c>
      <c r="B6" s="6">
        <v>1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7">
        <f t="shared" ref="I6:I11" si="0">1*C6+2*D6+3*E6+4*F6+5*G6+6*H6</f>
        <v>0</v>
      </c>
      <c r="J6" s="8">
        <f t="shared" ref="J6:J11" si="1">1-B6</f>
        <v>0</v>
      </c>
      <c r="K6" s="9">
        <f t="shared" ref="K6:K11" si="2">SUM(B6:H6)</f>
        <v>1</v>
      </c>
    </row>
    <row r="7" spans="1:11" x14ac:dyDescent="0.25">
      <c r="A7" s="5">
        <v>4</v>
      </c>
      <c r="B7" s="6">
        <v>0.513303974429555</v>
      </c>
      <c r="C7" s="6">
        <v>0.36093276364332899</v>
      </c>
      <c r="D7" s="6">
        <v>0.106967626502551</v>
      </c>
      <c r="E7" s="6">
        <v>1.7143298134948699E-2</v>
      </c>
      <c r="F7" s="6">
        <v>1.57208511330976E-3</v>
      </c>
      <c r="G7" s="6">
        <v>7.8568886087157706E-5</v>
      </c>
      <c r="H7" s="6">
        <v>1.68329021996087E-6</v>
      </c>
      <c r="I7" s="7">
        <f t="shared" si="0"/>
        <v>0.63298919567827161</v>
      </c>
      <c r="J7" s="8">
        <f t="shared" si="1"/>
        <v>0.486696025570445</v>
      </c>
      <c r="K7" s="9">
        <f t="shared" si="2"/>
        <v>1.0000000000000004</v>
      </c>
    </row>
    <row r="8" spans="1:11" x14ac:dyDescent="0.25">
      <c r="A8" s="5">
        <v>5</v>
      </c>
      <c r="B8" s="6">
        <v>0.162104579524918</v>
      </c>
      <c r="C8" s="6">
        <v>0.34109019383833</v>
      </c>
      <c r="D8" s="6">
        <v>0.30326286794125201</v>
      </c>
      <c r="E8" s="6">
        <v>0.14632758284693501</v>
      </c>
      <c r="F8" s="6">
        <v>4.0610527835146702E-2</v>
      </c>
      <c r="G8" s="6">
        <v>6.1932884870615204E-3</v>
      </c>
      <c r="H8" s="6">
        <v>4.1095952635763301E-4</v>
      </c>
      <c r="I8" s="7">
        <f t="shared" si="0"/>
        <v>1.5824729891956792</v>
      </c>
      <c r="J8" s="8">
        <f t="shared" si="1"/>
        <v>0.83789542047508203</v>
      </c>
      <c r="K8" s="9">
        <f t="shared" si="2"/>
        <v>1.0000000000000009</v>
      </c>
    </row>
    <row r="9" spans="1:11" x14ac:dyDescent="0.25">
      <c r="A9" s="5">
        <v>6</v>
      </c>
      <c r="B9" s="6">
        <v>3.7882035641381498E-2</v>
      </c>
      <c r="C9" s="6">
        <v>0.16157237116119999</v>
      </c>
      <c r="D9" s="6">
        <v>0.291833037920118</v>
      </c>
      <c r="E9" s="6">
        <v>0.28697962671364302</v>
      </c>
      <c r="F9" s="6">
        <v>0.16314200017522901</v>
      </c>
      <c r="G9" s="6">
        <v>5.13984050063718E-2</v>
      </c>
      <c r="H9" s="6">
        <v>7.1925233820567102E-3</v>
      </c>
      <c r="I9" s="7">
        <f t="shared" si="0"/>
        <v>2.5588924931674804</v>
      </c>
      <c r="J9" s="8">
        <f t="shared" si="1"/>
        <v>0.96211796435861852</v>
      </c>
      <c r="K9" s="9">
        <f t="shared" si="2"/>
        <v>1</v>
      </c>
    </row>
    <row r="10" spans="1:11" x14ac:dyDescent="0.25">
      <c r="A10" s="5">
        <v>7</v>
      </c>
      <c r="B10" s="6">
        <v>7.3885939428679397E-3</v>
      </c>
      <c r="C10" s="6">
        <v>5.4279867608320001E-2</v>
      </c>
      <c r="D10" s="6">
        <v>0.169192967808657</v>
      </c>
      <c r="E10" s="6">
        <v>0.28791479722963498</v>
      </c>
      <c r="F10" s="6">
        <v>0.28461250359897999</v>
      </c>
      <c r="G10" s="6">
        <v>0.15705956427839299</v>
      </c>
      <c r="H10" s="6">
        <v>3.9551705533146797E-2</v>
      </c>
      <c r="I10" s="7">
        <f t="shared" si="0"/>
        <v>3.4174682639013048</v>
      </c>
      <c r="J10" s="8">
        <f t="shared" si="1"/>
        <v>0.99261140605713205</v>
      </c>
      <c r="K10" s="9">
        <f t="shared" si="2"/>
        <v>0.99999999999999967</v>
      </c>
    </row>
    <row r="11" spans="1:11" x14ac:dyDescent="0.25">
      <c r="A11" s="5">
        <v>8</v>
      </c>
      <c r="B11" s="6">
        <v>1.2939831314218401E-3</v>
      </c>
      <c r="C11" s="6">
        <v>1.5017738920925399E-2</v>
      </c>
      <c r="D11" s="6">
        <v>7.4070783809365701E-2</v>
      </c>
      <c r="E11" s="6">
        <v>0.19992407832484699</v>
      </c>
      <c r="F11" s="6">
        <v>0.31502245282242902</v>
      </c>
      <c r="G11" s="6">
        <v>0.27847162876380299</v>
      </c>
      <c r="H11" s="6">
        <v>0.116199334227209</v>
      </c>
      <c r="I11" s="7">
        <f t="shared" si="0"/>
        <v>4.1125755019861829</v>
      </c>
      <c r="J11" s="8">
        <f t="shared" si="1"/>
        <v>0.99870601686857818</v>
      </c>
      <c r="K11" s="9">
        <f t="shared" si="2"/>
        <v>1.0000000000000009</v>
      </c>
    </row>
    <row r="13" spans="1:11" x14ac:dyDescent="0.25">
      <c r="A13" s="3" t="s">
        <v>12</v>
      </c>
    </row>
    <row r="14" spans="1:11" x14ac:dyDescent="0.25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  <c r="G14" s="4" t="s">
        <v>17</v>
      </c>
      <c r="H14" s="4" t="s">
        <v>20</v>
      </c>
      <c r="I14" s="4" t="s">
        <v>9</v>
      </c>
      <c r="J14" s="4" t="s">
        <v>10</v>
      </c>
      <c r="K14" s="4" t="s">
        <v>11</v>
      </c>
    </row>
    <row r="15" spans="1:11" x14ac:dyDescent="0.25">
      <c r="A15" s="5">
        <v>3</v>
      </c>
      <c r="B15" s="6">
        <v>4.84655423473805E-2</v>
      </c>
      <c r="C15" s="6">
        <v>0.18972375025010299</v>
      </c>
      <c r="D15" s="6">
        <v>0.31108790476661902</v>
      </c>
      <c r="E15" s="6">
        <v>0.27368493297554802</v>
      </c>
      <c r="F15" s="6">
        <v>0.136379812088157</v>
      </c>
      <c r="G15" s="6">
        <v>3.6539599554592801E-2</v>
      </c>
      <c r="H15" s="6">
        <v>4.1184580175998801E-3</v>
      </c>
      <c r="I15" s="7">
        <f t="shared" ref="I15:I20" si="3">1*C15+2*D15+3*E15+4*F15+5*G15+6*H15</f>
        <v>2.3858823529411763</v>
      </c>
      <c r="J15" s="8">
        <f t="shared" ref="J15:J20" si="4">1-B15</f>
        <v>0.95153445765261946</v>
      </c>
      <c r="K15" s="9">
        <f t="shared" ref="K15:K20" si="5">SUM(B15:H15)</f>
        <v>1.0000000000000002</v>
      </c>
    </row>
    <row r="16" spans="1:11" x14ac:dyDescent="0.25">
      <c r="A16" s="5">
        <v>4</v>
      </c>
      <c r="B16" s="6">
        <v>5.2900803766890497E-3</v>
      </c>
      <c r="C16" s="6">
        <v>4.4010658475955797E-2</v>
      </c>
      <c r="D16" s="6">
        <v>0.15318818245048199</v>
      </c>
      <c r="E16" s="6">
        <v>0.28567189826487299</v>
      </c>
      <c r="F16" s="6">
        <v>0.30117840075497998</v>
      </c>
      <c r="G16" s="6">
        <v>0.17029468472776901</v>
      </c>
      <c r="H16" s="6">
        <v>4.03660949492511E-2</v>
      </c>
      <c r="I16" s="7">
        <f t="shared" si="3"/>
        <v>3.5057863145258104</v>
      </c>
      <c r="J16" s="8">
        <f t="shared" si="4"/>
        <v>0.9947099196233109</v>
      </c>
      <c r="K16" s="9">
        <f t="shared" si="5"/>
        <v>1</v>
      </c>
    </row>
    <row r="17" spans="1:11" x14ac:dyDescent="0.25">
      <c r="A17" s="5">
        <v>5</v>
      </c>
      <c r="B17" s="6">
        <v>4.8567820842193897E-3</v>
      </c>
      <c r="C17" s="6">
        <v>4.1693019982285598E-2</v>
      </c>
      <c r="D17" s="6">
        <v>0.149078537270523</v>
      </c>
      <c r="E17" s="6">
        <v>0.28419236125617597</v>
      </c>
      <c r="F17" s="6">
        <v>0.30463550127203598</v>
      </c>
      <c r="G17" s="6">
        <v>0.17409991936743399</v>
      </c>
      <c r="H17" s="6">
        <v>4.1443878767325699E-2</v>
      </c>
      <c r="I17" s="7">
        <f t="shared" si="3"/>
        <v>3.5301320528211275</v>
      </c>
      <c r="J17" s="8">
        <f t="shared" si="4"/>
        <v>0.99514321791578064</v>
      </c>
      <c r="K17" s="9">
        <f t="shared" si="5"/>
        <v>0.99999999999999956</v>
      </c>
    </row>
    <row r="18" spans="1:11" x14ac:dyDescent="0.25">
      <c r="A18" s="5">
        <v>6</v>
      </c>
      <c r="B18" s="6">
        <v>1.49468204697177E-2</v>
      </c>
      <c r="C18" s="6">
        <v>8.9866448252060999E-2</v>
      </c>
      <c r="D18" s="6">
        <v>0.22785020281042301</v>
      </c>
      <c r="E18" s="6">
        <v>0.31073303586990397</v>
      </c>
      <c r="F18" s="6">
        <v>0.23997858040112699</v>
      </c>
      <c r="G18" s="6">
        <v>9.9392413671118895E-2</v>
      </c>
      <c r="H18" s="6">
        <v>1.7232498525648801E-2</v>
      </c>
      <c r="I18" s="7">
        <f t="shared" si="3"/>
        <v>3.0380373425966143</v>
      </c>
      <c r="J18" s="8">
        <f t="shared" si="4"/>
        <v>0.98505317953028226</v>
      </c>
      <c r="K18" s="9">
        <f t="shared" si="5"/>
        <v>1.0000000000000004</v>
      </c>
    </row>
    <row r="19" spans="1:11" x14ac:dyDescent="0.25">
      <c r="A19" s="5">
        <v>7</v>
      </c>
      <c r="B19" s="6">
        <v>4.9621349534747901E-2</v>
      </c>
      <c r="C19" s="6">
        <v>0.18629640941230299</v>
      </c>
      <c r="D19" s="6">
        <v>0.305430543391845</v>
      </c>
      <c r="E19" s="6">
        <v>0.27399152193777898</v>
      </c>
      <c r="F19" s="6">
        <v>0.14088478510657601</v>
      </c>
      <c r="G19" s="6">
        <v>3.9183106611568701E-2</v>
      </c>
      <c r="H19" s="6">
        <v>4.5922840051805802E-3</v>
      </c>
      <c r="I19" s="7">
        <f t="shared" si="3"/>
        <v>2.4061404395245609</v>
      </c>
      <c r="J19" s="8">
        <f t="shared" si="4"/>
        <v>0.95037865046525205</v>
      </c>
      <c r="K19" s="9">
        <f t="shared" si="5"/>
        <v>1</v>
      </c>
    </row>
    <row r="20" spans="1:11" x14ac:dyDescent="0.25">
      <c r="A20" s="5">
        <v>8</v>
      </c>
      <c r="B20" s="6">
        <v>0.12520322780013701</v>
      </c>
      <c r="C20" s="6">
        <v>0.29401078020084898</v>
      </c>
      <c r="D20" s="6">
        <v>0.31539951095850499</v>
      </c>
      <c r="E20" s="6">
        <v>0.187638316356666</v>
      </c>
      <c r="F20" s="6">
        <v>6.4658288551159807E-2</v>
      </c>
      <c r="G20" s="6">
        <v>1.21268514741144E-2</v>
      </c>
      <c r="H20" s="6">
        <v>9.6302465856838303E-4</v>
      </c>
      <c r="I20" s="7">
        <f t="shared" si="3"/>
        <v>1.8127703107144786</v>
      </c>
      <c r="J20" s="8">
        <f t="shared" si="4"/>
        <v>0.87479677219986296</v>
      </c>
      <c r="K20" s="9">
        <f t="shared" si="5"/>
        <v>0.99999999999999944</v>
      </c>
    </row>
    <row r="22" spans="1:11" x14ac:dyDescent="0.25">
      <c r="A22" s="3" t="s">
        <v>13</v>
      </c>
    </row>
    <row r="23" spans="1:11" x14ac:dyDescent="0.25">
      <c r="A23" s="4" t="s">
        <v>3</v>
      </c>
      <c r="B23" s="4" t="s">
        <v>4</v>
      </c>
      <c r="C23" s="4" t="s">
        <v>5</v>
      </c>
      <c r="D23" s="4" t="s">
        <v>6</v>
      </c>
      <c r="E23" s="4" t="s">
        <v>7</v>
      </c>
      <c r="F23" s="4" t="s">
        <v>8</v>
      </c>
      <c r="G23" s="4" t="s">
        <v>17</v>
      </c>
      <c r="H23" s="4" t="s">
        <v>20</v>
      </c>
      <c r="I23" s="4" t="s">
        <v>9</v>
      </c>
      <c r="J23" s="4" t="s">
        <v>10</v>
      </c>
      <c r="K23" s="4" t="s">
        <v>11</v>
      </c>
    </row>
    <row r="24" spans="1:11" x14ac:dyDescent="0.25">
      <c r="A24" s="5">
        <v>3</v>
      </c>
      <c r="B24" s="6">
        <v>8.3171817599708708E-3</v>
      </c>
      <c r="C24" s="6">
        <v>6.0774800118213797E-2</v>
      </c>
      <c r="D24" s="6">
        <v>0.18548606599803399</v>
      </c>
      <c r="E24" s="6">
        <v>0.302577828188965</v>
      </c>
      <c r="F24" s="6">
        <v>0.278184587515931</v>
      </c>
      <c r="G24" s="6">
        <v>0.136646573493509</v>
      </c>
      <c r="H24" s="6">
        <v>2.8012962925377301E-2</v>
      </c>
      <c r="I24" s="7">
        <f t="shared" ref="I24:I29" si="6">1*C24+2*D24+3*E24+4*F24+5*G24+6*H24</f>
        <v>3.3035294117647096</v>
      </c>
      <c r="J24" s="8">
        <f t="shared" ref="J24:J29" si="7">1-B24</f>
        <v>0.99168281824002913</v>
      </c>
      <c r="K24" s="9">
        <f t="shared" ref="K24:K29" si="8">SUM(B24:H24)</f>
        <v>1.0000000000000009</v>
      </c>
    </row>
    <row r="25" spans="1:11" x14ac:dyDescent="0.25">
      <c r="A25" s="5">
        <v>4</v>
      </c>
      <c r="B25" s="6">
        <v>0.12045943769397099</v>
      </c>
      <c r="C25" s="6">
        <v>0.301867626265995</v>
      </c>
      <c r="D25" s="6">
        <v>0.32110726578299897</v>
      </c>
      <c r="E25" s="6">
        <v>0.184715460717253</v>
      </c>
      <c r="F25" s="6">
        <v>6.0426585062446102E-2</v>
      </c>
      <c r="G25" s="6">
        <v>1.06374914432918E-2</v>
      </c>
      <c r="H25" s="6">
        <v>7.8613303404434E-4</v>
      </c>
      <c r="I25" s="7">
        <f t="shared" si="6"/>
        <v>1.7978391356542613</v>
      </c>
      <c r="J25" s="8">
        <f t="shared" si="7"/>
        <v>0.87954056230602906</v>
      </c>
      <c r="K25" s="9">
        <f t="shared" si="8"/>
        <v>1.0000000000000002</v>
      </c>
    </row>
    <row r="26" spans="1:11" x14ac:dyDescent="0.25">
      <c r="A26" s="5">
        <v>5</v>
      </c>
      <c r="B26" s="6">
        <v>0.39342913102648502</v>
      </c>
      <c r="C26" s="6">
        <v>0.39049905935532397</v>
      </c>
      <c r="D26" s="6">
        <v>0.16961625287284099</v>
      </c>
      <c r="E26" s="6">
        <v>4.0481740033758401E-2</v>
      </c>
      <c r="F26" s="6">
        <v>5.5485911258737596E-3</v>
      </c>
      <c r="G26" s="6">
        <v>4.1229913845510402E-4</v>
      </c>
      <c r="H26" s="6">
        <v>1.29264472635393E-5</v>
      </c>
      <c r="I26" s="7">
        <f t="shared" si="6"/>
        <v>0.87551020408163294</v>
      </c>
      <c r="J26" s="8">
        <f t="shared" si="7"/>
        <v>0.60657086897351498</v>
      </c>
      <c r="K26" s="9">
        <f t="shared" si="8"/>
        <v>1.0000000000000007</v>
      </c>
    </row>
    <row r="27" spans="1:11" x14ac:dyDescent="0.25">
      <c r="A27" s="5">
        <v>6</v>
      </c>
      <c r="B27" s="6">
        <v>0.66455218270739302</v>
      </c>
      <c r="C27" s="6">
        <v>0.27629057302783</v>
      </c>
      <c r="D27" s="6">
        <v>5.3093581246325398E-2</v>
      </c>
      <c r="E27" s="6">
        <v>5.6975451128541098E-3</v>
      </c>
      <c r="F27" s="6">
        <v>3.5390579854984702E-4</v>
      </c>
      <c r="G27" s="6">
        <v>1.20392939313044E-5</v>
      </c>
      <c r="H27" s="6">
        <v>1.7281311671009101E-7</v>
      </c>
      <c r="I27" s="7">
        <f t="shared" si="6"/>
        <v>0.40104722740159932</v>
      </c>
      <c r="J27" s="8">
        <f t="shared" si="7"/>
        <v>0.33544781729260698</v>
      </c>
      <c r="K27" s="9">
        <f t="shared" si="8"/>
        <v>1.0000000000000004</v>
      </c>
    </row>
    <row r="28" spans="1:11" x14ac:dyDescent="0.25">
      <c r="A28" s="5">
        <v>7</v>
      </c>
      <c r="B28" s="6">
        <v>0.83848990696188896</v>
      </c>
      <c r="C28" s="6">
        <v>0.14763713157247099</v>
      </c>
      <c r="D28" s="6">
        <v>1.3192489208272399E-2</v>
      </c>
      <c r="E28" s="6">
        <v>6.6085968190023503E-4</v>
      </c>
      <c r="F28" s="6">
        <v>1.9295670514192001E-5</v>
      </c>
      <c r="G28" s="6">
        <v>3.1478628023145401E-7</v>
      </c>
      <c r="H28" s="6">
        <v>2.1186739040954201E-9</v>
      </c>
      <c r="I28" s="7">
        <f t="shared" si="6"/>
        <v>0.17608345836021785</v>
      </c>
      <c r="J28" s="8">
        <f t="shared" si="7"/>
        <v>0.16151009303811104</v>
      </c>
      <c r="K28" s="9">
        <f t="shared" si="8"/>
        <v>1.0000000000000009</v>
      </c>
    </row>
    <row r="29" spans="1:11" x14ac:dyDescent="0.25">
      <c r="A29" s="5">
        <v>8</v>
      </c>
      <c r="B29" s="6">
        <v>0.92850706665674299</v>
      </c>
      <c r="C29" s="6">
        <v>6.8444911762224905E-2</v>
      </c>
      <c r="D29" s="6">
        <v>2.9768375993780502E-3</v>
      </c>
      <c r="E29" s="6">
        <v>7.0188685834116101E-5</v>
      </c>
      <c r="F29" s="6">
        <v>9.8731848797081399E-7</v>
      </c>
      <c r="G29" s="6">
        <v>7.9522734016227002E-9</v>
      </c>
      <c r="H29" s="6">
        <v>2.5058410016301499E-11</v>
      </c>
      <c r="I29" s="7">
        <f t="shared" si="6"/>
        <v>7.4613142204152688E-2</v>
      </c>
      <c r="J29" s="8">
        <f t="shared" si="7"/>
        <v>7.1492933343257015E-2</v>
      </c>
      <c r="K29" s="9">
        <f t="shared" si="8"/>
        <v>0.99999999999999978</v>
      </c>
    </row>
    <row r="31" spans="1:11" x14ac:dyDescent="0.25">
      <c r="A31" s="3" t="s">
        <v>14</v>
      </c>
    </row>
    <row r="32" spans="1:11" x14ac:dyDescent="0.25">
      <c r="A32" s="4" t="s">
        <v>3</v>
      </c>
      <c r="B32" s="4" t="s">
        <v>4</v>
      </c>
      <c r="C32" s="4" t="s">
        <v>5</v>
      </c>
      <c r="D32" s="4" t="s">
        <v>6</v>
      </c>
      <c r="E32" s="4" t="s">
        <v>7</v>
      </c>
      <c r="F32" s="4" t="s">
        <v>8</v>
      </c>
      <c r="G32" s="4" t="s">
        <v>17</v>
      </c>
      <c r="H32" s="4" t="s">
        <v>20</v>
      </c>
      <c r="I32" s="4" t="s">
        <v>9</v>
      </c>
      <c r="J32" s="4" t="s">
        <v>10</v>
      </c>
      <c r="K32" s="4" t="s">
        <v>11</v>
      </c>
    </row>
    <row r="33" spans="1:11" x14ac:dyDescent="0.25">
      <c r="A33" s="5">
        <v>3</v>
      </c>
      <c r="B33" s="6">
        <v>0.72777337624577898</v>
      </c>
      <c r="C33" s="6">
        <v>0.23660346093346199</v>
      </c>
      <c r="D33" s="6">
        <v>3.2999340998131101E-2</v>
      </c>
      <c r="E33" s="6">
        <v>2.5118202532146499E-3</v>
      </c>
      <c r="F33" s="6">
        <v>1.09401758700289E-4</v>
      </c>
      <c r="G33" s="6">
        <v>2.57429432727499E-6</v>
      </c>
      <c r="H33" s="6">
        <v>2.5516385327514099E-8</v>
      </c>
      <c r="I33" s="7">
        <f t="shared" ref="I33:I38" si="9">1*C33+2*D33+3*E33+4*F33+5*G33+6*H33</f>
        <v>0.31058823529411766</v>
      </c>
      <c r="J33" s="8">
        <f t="shared" ref="J33:J38" si="10">1-B33</f>
        <v>0.27222662375422102</v>
      </c>
      <c r="K33" s="9">
        <f t="shared" ref="K33:K38" si="11">SUM(B33:H33)</f>
        <v>0.99999999999999956</v>
      </c>
    </row>
    <row r="34" spans="1:11" x14ac:dyDescent="0.25">
      <c r="A34" s="5">
        <v>4</v>
      </c>
      <c r="B34" s="6">
        <v>0.93843339420723404</v>
      </c>
      <c r="C34" s="6">
        <v>5.9778281414506501E-2</v>
      </c>
      <c r="D34" s="6">
        <v>1.75819897580501E-3</v>
      </c>
      <c r="E34" s="6">
        <v>2.9828386987591501E-5</v>
      </c>
      <c r="F34" s="6">
        <v>2.9546626967000301E-7</v>
      </c>
      <c r="G34" s="6">
        <v>1.5456823612732801E-9</v>
      </c>
      <c r="H34" s="6">
        <v>3.5144849314180199E-12</v>
      </c>
      <c r="I34" s="7">
        <f t="shared" si="9"/>
        <v>6.3385354141656691E-2</v>
      </c>
      <c r="J34" s="8">
        <f t="shared" si="10"/>
        <v>6.156660579276596E-2</v>
      </c>
      <c r="K34" s="9">
        <f t="shared" si="11"/>
        <v>0.99999999999999967</v>
      </c>
    </row>
    <row r="35" spans="1:11" x14ac:dyDescent="0.25">
      <c r="A35" s="5">
        <v>5</v>
      </c>
      <c r="B35" s="6">
        <v>0.98819079650403296</v>
      </c>
      <c r="C35" s="6">
        <v>1.17339728201957E-2</v>
      </c>
      <c r="D35" s="6">
        <v>7.4911788041979194E-5</v>
      </c>
      <c r="E35" s="6">
        <v>3.1804642674699002E-7</v>
      </c>
      <c r="F35" s="6">
        <v>8.4051289895601599E-10</v>
      </c>
      <c r="G35" s="6">
        <v>7.8935300337863797E-13</v>
      </c>
      <c r="H35" s="6">
        <v>3.9225947573812801E-16</v>
      </c>
      <c r="I35" s="7">
        <f t="shared" si="9"/>
        <v>1.1884753901560614E-2</v>
      </c>
      <c r="J35" s="8">
        <f t="shared" si="10"/>
        <v>1.1809203495967036E-2</v>
      </c>
      <c r="K35" s="9">
        <f t="shared" si="11"/>
        <v>1</v>
      </c>
    </row>
    <row r="36" spans="1:11" x14ac:dyDescent="0.25">
      <c r="A36" s="5">
        <v>6</v>
      </c>
      <c r="B36" s="6">
        <v>0.99797984312766097</v>
      </c>
      <c r="C36" s="6">
        <v>2.01738023780094E-3</v>
      </c>
      <c r="D36" s="6">
        <v>2.7733103560238902E-6</v>
      </c>
      <c r="E36" s="6">
        <v>3.32093468709355E-9</v>
      </c>
      <c r="F36" s="6">
        <v>3.24748931781031E-12</v>
      </c>
      <c r="G36" s="6">
        <v>2.3701570660635602E-16</v>
      </c>
      <c r="H36" s="6">
        <v>1.6605244747287601E-20</v>
      </c>
      <c r="I36" s="7">
        <f t="shared" si="9"/>
        <v>2.0229368343081915E-3</v>
      </c>
      <c r="J36" s="8">
        <f t="shared" si="10"/>
        <v>2.0201568723390295E-3</v>
      </c>
      <c r="K36" s="9">
        <f t="shared" si="11"/>
        <v>1.0000000000000002</v>
      </c>
    </row>
    <row r="37" spans="1:11" x14ac:dyDescent="0.25">
      <c r="A37" s="5">
        <v>7</v>
      </c>
      <c r="B37" s="6">
        <v>0.99969224905966503</v>
      </c>
      <c r="C37" s="6">
        <v>3.0766369837828599E-4</v>
      </c>
      <c r="D37" s="6">
        <v>8.7210346840567594E-8</v>
      </c>
      <c r="E37" s="6">
        <v>3.1594174228382302E-11</v>
      </c>
      <c r="F37" s="6">
        <v>1.5493554300396998E-14</v>
      </c>
      <c r="G37" s="6">
        <v>0</v>
      </c>
      <c r="H37" s="6">
        <v>0</v>
      </c>
      <c r="I37" s="7">
        <f t="shared" si="9"/>
        <v>3.0783821391646408E-4</v>
      </c>
      <c r="J37" s="8">
        <f t="shared" si="10"/>
        <v>3.0775094033497208E-4</v>
      </c>
      <c r="K37" s="9">
        <f t="shared" si="11"/>
        <v>0.99999999999999989</v>
      </c>
    </row>
    <row r="38" spans="1:11" x14ac:dyDescent="0.25">
      <c r="A38" s="5">
        <v>8</v>
      </c>
      <c r="B38" s="6">
        <v>0.99995895713996896</v>
      </c>
      <c r="C38" s="6">
        <v>4.1040625126943699E-5</v>
      </c>
      <c r="D38" s="6">
        <v>2.2346509776787701E-9</v>
      </c>
      <c r="E38" s="6">
        <v>2.53215943348782E-13</v>
      </c>
      <c r="F38" s="6">
        <v>7.8736300792531597E-17</v>
      </c>
      <c r="G38" s="6">
        <v>0</v>
      </c>
      <c r="H38" s="6">
        <v>0</v>
      </c>
      <c r="I38" s="7">
        <f t="shared" si="9"/>
        <v>4.1045095188861836E-5</v>
      </c>
      <c r="J38" s="8">
        <f t="shared" si="10"/>
        <v>4.104286003103752E-5</v>
      </c>
      <c r="K38" s="9">
        <f t="shared" si="11"/>
        <v>1.0000000000000002</v>
      </c>
    </row>
  </sheetData>
  <conditionalFormatting sqref="B6:H11">
    <cfRule type="colorScale" priority="2">
      <colorScale>
        <cfvo type="num" val="0"/>
        <cfvo type="num" val="1"/>
        <color rgb="FFFFFFFF"/>
        <color rgb="FF4F9A6E"/>
      </colorScale>
    </cfRule>
  </conditionalFormatting>
  <conditionalFormatting sqref="B15:H20">
    <cfRule type="colorScale" priority="3">
      <colorScale>
        <cfvo type="num" val="0"/>
        <cfvo type="num" val="1"/>
        <color rgb="FFFFFFFF"/>
        <color rgb="FF4F9A6E"/>
      </colorScale>
    </cfRule>
  </conditionalFormatting>
  <conditionalFormatting sqref="B24:H29">
    <cfRule type="colorScale" priority="4">
      <colorScale>
        <cfvo type="num" val="0"/>
        <cfvo type="num" val="1"/>
        <color rgb="FFFFFFFF"/>
        <color rgb="FF4F9A6E"/>
      </colorScale>
    </cfRule>
  </conditionalFormatting>
  <conditionalFormatting sqref="B33:H38">
    <cfRule type="colorScale" priority="5">
      <colorScale>
        <cfvo type="num" val="0"/>
        <cfvo type="num" val="1"/>
        <color rgb="FFFFFFFF"/>
        <color rgb="FF4F9A6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tabSelected="1" zoomScaleNormal="100" workbookViewId="0">
      <selection activeCell="F22" sqref="F22"/>
    </sheetView>
  </sheetViews>
  <sheetFormatPr defaultColWidth="8.7109375" defaultRowHeight="15" x14ac:dyDescent="0.25"/>
  <cols>
    <col min="1" max="6" width="11" customWidth="1"/>
  </cols>
  <sheetData>
    <row r="1" spans="1:6" ht="16.5" x14ac:dyDescent="0.25">
      <c r="A1" s="1" t="s">
        <v>21</v>
      </c>
    </row>
    <row r="3" spans="1:6" x14ac:dyDescent="0.25">
      <c r="A3" s="4" t="s">
        <v>3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11</v>
      </c>
    </row>
    <row r="4" spans="1:6" x14ac:dyDescent="0.25">
      <c r="A4" s="10">
        <v>3</v>
      </c>
      <c r="B4" s="6">
        <v>0</v>
      </c>
      <c r="C4" s="6">
        <v>0.39764705882352902</v>
      </c>
      <c r="D4" s="6">
        <v>0.55058823529411804</v>
      </c>
      <c r="E4" s="6">
        <v>5.17647058823529E-2</v>
      </c>
      <c r="F4" s="11">
        <f t="shared" ref="F4:F14" si="0">SUM(B4:E4)</f>
        <v>1</v>
      </c>
    </row>
    <row r="5" spans="1:6" x14ac:dyDescent="0.25">
      <c r="A5" s="10">
        <v>4</v>
      </c>
      <c r="B5" s="6">
        <v>0.105498199279712</v>
      </c>
      <c r="C5" s="6">
        <v>0.58429771908763495</v>
      </c>
      <c r="D5" s="6">
        <v>0.29963985594237702</v>
      </c>
      <c r="E5" s="6">
        <v>1.05642256902761E-2</v>
      </c>
      <c r="F5" s="11">
        <f t="shared" si="0"/>
        <v>1</v>
      </c>
    </row>
    <row r="6" spans="1:6" x14ac:dyDescent="0.25">
      <c r="A6" s="10">
        <v>5</v>
      </c>
      <c r="B6" s="6">
        <v>0.26374549819928</v>
      </c>
      <c r="C6" s="6">
        <v>0.58835534213685503</v>
      </c>
      <c r="D6" s="6">
        <v>0.145918367346939</v>
      </c>
      <c r="E6" s="6">
        <v>1.9807923169267699E-3</v>
      </c>
      <c r="F6" s="11">
        <f t="shared" si="0"/>
        <v>1.0000000000000007</v>
      </c>
    </row>
    <row r="7" spans="1:6" x14ac:dyDescent="0.25">
      <c r="A7" s="10">
        <v>6</v>
      </c>
      <c r="B7" s="6">
        <v>0.42648208219458</v>
      </c>
      <c r="C7" s="6">
        <v>0.50633955709943601</v>
      </c>
      <c r="D7" s="6">
        <v>6.6841204566933196E-2</v>
      </c>
      <c r="E7" s="6">
        <v>3.3715613905136501E-4</v>
      </c>
      <c r="F7" s="11">
        <f t="shared" si="0"/>
        <v>1.0000000000000007</v>
      </c>
    </row>
    <row r="8" spans="1:6" x14ac:dyDescent="0.25">
      <c r="A8" s="10">
        <v>7</v>
      </c>
      <c r="B8" s="6">
        <v>0.56957804398355105</v>
      </c>
      <c r="C8" s="6">
        <v>0.40102340658742702</v>
      </c>
      <c r="D8" s="6">
        <v>2.93472430600362E-2</v>
      </c>
      <c r="E8" s="6">
        <v>5.1306368986077302E-5</v>
      </c>
      <c r="F8" s="11">
        <f t="shared" si="0"/>
        <v>1.0000000000000004</v>
      </c>
    </row>
    <row r="9" spans="1:6" x14ac:dyDescent="0.25">
      <c r="A9" s="10">
        <v>8</v>
      </c>
      <c r="B9" s="6">
        <v>0.68542925033102997</v>
      </c>
      <c r="C9" s="6">
        <v>0.30212838511908002</v>
      </c>
      <c r="D9" s="6">
        <v>1.24355237006921E-2</v>
      </c>
      <c r="E9" s="6">
        <v>6.8408491981436396E-6</v>
      </c>
      <c r="F9" s="11">
        <f t="shared" si="0"/>
        <v>1.0000000000000002</v>
      </c>
    </row>
    <row r="10" spans="1:6" x14ac:dyDescent="0.25">
      <c r="A10" s="10">
        <v>9</v>
      </c>
      <c r="B10" s="6">
        <v>0.77469445502530299</v>
      </c>
      <c r="C10" s="6">
        <v>0.22021144442976101</v>
      </c>
      <c r="D10" s="6">
        <v>5.0933231757087699E-3</v>
      </c>
      <c r="E10" s="6">
        <v>7.7736922706177796E-7</v>
      </c>
      <c r="F10" s="11">
        <f t="shared" si="0"/>
        <v>0.99999999999999989</v>
      </c>
    </row>
    <row r="11" spans="1:6" x14ac:dyDescent="0.25">
      <c r="A11" s="10">
        <v>10</v>
      </c>
      <c r="B11" s="6">
        <v>0.84127000799244001</v>
      </c>
      <c r="C11" s="6">
        <v>0.156715575243285</v>
      </c>
      <c r="D11" s="6">
        <v>2.01434445085824E-3</v>
      </c>
      <c r="E11" s="6">
        <v>7.2313416470863002E-8</v>
      </c>
      <c r="F11" s="11">
        <f t="shared" si="0"/>
        <v>0.99999999999999967</v>
      </c>
    </row>
    <row r="12" spans="1:6" x14ac:dyDescent="0.25">
      <c r="A12" s="10">
        <v>11</v>
      </c>
      <c r="B12" s="6">
        <v>0.88977720985345699</v>
      </c>
      <c r="C12" s="6">
        <v>0.109455348518514</v>
      </c>
      <c r="D12" s="6">
        <v>7.6743646278510096E-4</v>
      </c>
      <c r="E12" s="6">
        <v>5.1652440336330697E-9</v>
      </c>
      <c r="F12" s="11">
        <f t="shared" si="0"/>
        <v>1.0000000000000002</v>
      </c>
    </row>
    <row r="13" spans="1:6" x14ac:dyDescent="0.25">
      <c r="A13" s="10">
        <v>12</v>
      </c>
      <c r="B13" s="6">
        <v>0.924482564261766</v>
      </c>
      <c r="C13" s="6">
        <v>7.5236661135385297E-2</v>
      </c>
      <c r="D13" s="6">
        <v>2.80774350885215E-4</v>
      </c>
      <c r="E13" s="6">
        <v>2.5196312359185698E-10</v>
      </c>
      <c r="F13" s="11">
        <f t="shared" si="0"/>
        <v>0.99999999999999967</v>
      </c>
    </row>
    <row r="14" spans="1:6" x14ac:dyDescent="0.25">
      <c r="A14" s="10">
        <v>13</v>
      </c>
      <c r="B14" s="6">
        <v>0.94893447913076701</v>
      </c>
      <c r="C14" s="6">
        <v>5.0967249594460501E-2</v>
      </c>
      <c r="D14" s="6">
        <v>9.8271268473870896E-5</v>
      </c>
      <c r="E14" s="6">
        <v>6.2990780897964302E-12</v>
      </c>
      <c r="F14" s="11">
        <f t="shared" si="0"/>
        <v>1.0000000000000004</v>
      </c>
    </row>
  </sheetData>
  <conditionalFormatting sqref="B4:E14">
    <cfRule type="colorScale" priority="1">
      <colorScale>
        <cfvo type="num" val="0"/>
        <cfvo type="num" val="1"/>
        <color rgb="FFFFFFFF"/>
        <color rgb="FF4F9A6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x14ac:dyDescent="0.25">
      <c r="A1" s="10" t="s">
        <v>26</v>
      </c>
    </row>
    <row r="2" spans="1:1" x14ac:dyDescent="0.25">
      <c r="A2" s="12" t="s">
        <v>27</v>
      </c>
    </row>
    <row r="3" spans="1:1" x14ac:dyDescent="0.25">
      <c r="A3" s="12" t="s">
        <v>28</v>
      </c>
    </row>
    <row r="4" spans="1:1" x14ac:dyDescent="0.25">
      <c r="A4" s="12" t="s">
        <v>29</v>
      </c>
    </row>
    <row r="5" spans="1:1" x14ac:dyDescent="0.25">
      <c r="A5" s="12" t="s">
        <v>30</v>
      </c>
    </row>
    <row r="6" spans="1:1" x14ac:dyDescent="0.25">
      <c r="A6" s="12"/>
    </row>
    <row r="7" spans="1:1" x14ac:dyDescent="0.25">
      <c r="A7" s="10" t="s">
        <v>31</v>
      </c>
    </row>
    <row r="8" spans="1:1" x14ac:dyDescent="0.25">
      <c r="A8" s="12" t="s">
        <v>32</v>
      </c>
    </row>
    <row r="9" spans="1:1" x14ac:dyDescent="0.25">
      <c r="A9" s="12" t="s">
        <v>33</v>
      </c>
    </row>
    <row r="10" spans="1:1" x14ac:dyDescent="0.25">
      <c r="A10" s="12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 players</vt:lpstr>
      <vt:lpstr>5 players</vt:lpstr>
      <vt:lpstr>6 players</vt:lpstr>
      <vt:lpstr>Single hand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Jim Agniel</cp:lastModifiedBy>
  <cp:revision>0</cp:revision>
  <dcterms:created xsi:type="dcterms:W3CDTF">2026-09-26T13:27:18Z</dcterms:created>
  <dcterms:modified xsi:type="dcterms:W3CDTF">2026-09-26T15:06:51Z</dcterms:modified>
  <dc:language>en-US</dc:language>
</cp:coreProperties>
</file>