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oogle Drive\My Drive\Projects\Oh Hell\"/>
    </mc:Choice>
  </mc:AlternateContent>
  <xr:revisionPtr revIDLastSave="0" documentId="13_ncr:1_{5DDA7976-A544-419E-B32B-9EA40C2E9DCC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Anyone void" sheetId="1" r:id="rId1"/>
    <sheet name="Single hand" sheetId="2" r:id="rId2"/>
    <sheet name="3 players" sheetId="3" r:id="rId3"/>
    <sheet name="4 players" sheetId="4" r:id="rId4"/>
    <sheet name="5 players" sheetId="5" r:id="rId5"/>
    <sheet name="6 players" sheetId="6" r:id="rId6"/>
    <sheet name="7 players" sheetId="7" r:id="rId7"/>
    <sheet name="Note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2" i="7" l="1"/>
  <c r="K72" i="7"/>
  <c r="J72" i="7"/>
  <c r="L71" i="7"/>
  <c r="K71" i="7"/>
  <c r="J71" i="7"/>
  <c r="L70" i="7"/>
  <c r="K70" i="7"/>
  <c r="J70" i="7"/>
  <c r="L69" i="7"/>
  <c r="K69" i="7"/>
  <c r="J69" i="7"/>
  <c r="L68" i="7"/>
  <c r="K68" i="7"/>
  <c r="J68" i="7"/>
  <c r="L67" i="7"/>
  <c r="K67" i="7"/>
  <c r="J67" i="7"/>
  <c r="L66" i="7"/>
  <c r="K66" i="7"/>
  <c r="J66" i="7"/>
  <c r="L62" i="7"/>
  <c r="K62" i="7"/>
  <c r="J62" i="7"/>
  <c r="L61" i="7"/>
  <c r="K61" i="7"/>
  <c r="J61" i="7"/>
  <c r="L60" i="7"/>
  <c r="K60" i="7"/>
  <c r="J60" i="7"/>
  <c r="L59" i="7"/>
  <c r="K59" i="7"/>
  <c r="J59" i="7"/>
  <c r="L58" i="7"/>
  <c r="K58" i="7"/>
  <c r="J58" i="7"/>
  <c r="L57" i="7"/>
  <c r="K57" i="7"/>
  <c r="J57" i="7"/>
  <c r="L56" i="7"/>
  <c r="K56" i="7"/>
  <c r="J56" i="7"/>
  <c r="L52" i="7"/>
  <c r="K52" i="7"/>
  <c r="J52" i="7"/>
  <c r="L51" i="7"/>
  <c r="K51" i="7"/>
  <c r="J51" i="7"/>
  <c r="L50" i="7"/>
  <c r="K50" i="7"/>
  <c r="J50" i="7"/>
  <c r="L49" i="7"/>
  <c r="K49" i="7"/>
  <c r="J49" i="7"/>
  <c r="L48" i="7"/>
  <c r="K48" i="7"/>
  <c r="J48" i="7"/>
  <c r="L47" i="7"/>
  <c r="K47" i="7"/>
  <c r="J47" i="7"/>
  <c r="L46" i="7"/>
  <c r="K46" i="7"/>
  <c r="J46" i="7"/>
  <c r="L42" i="7"/>
  <c r="K42" i="7"/>
  <c r="J42" i="7"/>
  <c r="L41" i="7"/>
  <c r="K41" i="7"/>
  <c r="J41" i="7"/>
  <c r="L40" i="7"/>
  <c r="K40" i="7"/>
  <c r="J40" i="7"/>
  <c r="L39" i="7"/>
  <c r="K39" i="7"/>
  <c r="J39" i="7"/>
  <c r="L38" i="7"/>
  <c r="K38" i="7"/>
  <c r="J38" i="7"/>
  <c r="L37" i="7"/>
  <c r="K37" i="7"/>
  <c r="J37" i="7"/>
  <c r="L36" i="7"/>
  <c r="K36" i="7"/>
  <c r="J36" i="7"/>
  <c r="L32" i="7"/>
  <c r="K32" i="7"/>
  <c r="J32" i="7"/>
  <c r="L31" i="7"/>
  <c r="K31" i="7"/>
  <c r="J31" i="7"/>
  <c r="L30" i="7"/>
  <c r="K30" i="7"/>
  <c r="J30" i="7"/>
  <c r="L29" i="7"/>
  <c r="K29" i="7"/>
  <c r="J29" i="7"/>
  <c r="L28" i="7"/>
  <c r="K28" i="7"/>
  <c r="J28" i="7"/>
  <c r="L27" i="7"/>
  <c r="K27" i="7"/>
  <c r="J27" i="7"/>
  <c r="L26" i="7"/>
  <c r="K26" i="7"/>
  <c r="J26" i="7"/>
  <c r="L22" i="7"/>
  <c r="K22" i="7"/>
  <c r="J22" i="7"/>
  <c r="L21" i="7"/>
  <c r="K21" i="7"/>
  <c r="J21" i="7"/>
  <c r="L20" i="7"/>
  <c r="K20" i="7"/>
  <c r="J20" i="7"/>
  <c r="L19" i="7"/>
  <c r="K19" i="7"/>
  <c r="J19" i="7"/>
  <c r="L18" i="7"/>
  <c r="K18" i="7"/>
  <c r="J18" i="7"/>
  <c r="L17" i="7"/>
  <c r="K17" i="7"/>
  <c r="J17" i="7"/>
  <c r="L16" i="7"/>
  <c r="K16" i="7"/>
  <c r="J16" i="7"/>
  <c r="L12" i="7"/>
  <c r="K12" i="7"/>
  <c r="J12" i="7"/>
  <c r="L11" i="7"/>
  <c r="K11" i="7"/>
  <c r="J11" i="7"/>
  <c r="L10" i="7"/>
  <c r="K10" i="7"/>
  <c r="J10" i="7"/>
  <c r="L9" i="7"/>
  <c r="K9" i="7"/>
  <c r="J9" i="7"/>
  <c r="L8" i="7"/>
  <c r="K8" i="7"/>
  <c r="J8" i="7"/>
  <c r="L7" i="7"/>
  <c r="K7" i="7"/>
  <c r="J7" i="7"/>
  <c r="L6" i="7"/>
  <c r="K6" i="7"/>
  <c r="J6" i="7"/>
  <c r="K79" i="6"/>
  <c r="J79" i="6"/>
  <c r="I79" i="6"/>
  <c r="K78" i="6"/>
  <c r="J78" i="6"/>
  <c r="I78" i="6"/>
  <c r="K77" i="6"/>
  <c r="J77" i="6"/>
  <c r="I77" i="6"/>
  <c r="K76" i="6"/>
  <c r="J76" i="6"/>
  <c r="I76" i="6"/>
  <c r="K75" i="6"/>
  <c r="J75" i="6"/>
  <c r="I75" i="6"/>
  <c r="K74" i="6"/>
  <c r="J74" i="6"/>
  <c r="I74" i="6"/>
  <c r="K73" i="6"/>
  <c r="J73" i="6"/>
  <c r="I73" i="6"/>
  <c r="K72" i="6"/>
  <c r="J72" i="6"/>
  <c r="I72" i="6"/>
  <c r="K68" i="6"/>
  <c r="J68" i="6"/>
  <c r="I68" i="6"/>
  <c r="K67" i="6"/>
  <c r="J67" i="6"/>
  <c r="I67" i="6"/>
  <c r="K66" i="6"/>
  <c r="J66" i="6"/>
  <c r="I66" i="6"/>
  <c r="K65" i="6"/>
  <c r="J65" i="6"/>
  <c r="I65" i="6"/>
  <c r="K64" i="6"/>
  <c r="J64" i="6"/>
  <c r="I64" i="6"/>
  <c r="K63" i="6"/>
  <c r="J63" i="6"/>
  <c r="I63" i="6"/>
  <c r="K62" i="6"/>
  <c r="J62" i="6"/>
  <c r="I62" i="6"/>
  <c r="K61" i="6"/>
  <c r="J61" i="6"/>
  <c r="I61" i="6"/>
  <c r="K57" i="6"/>
  <c r="J57" i="6"/>
  <c r="I57" i="6"/>
  <c r="K56" i="6"/>
  <c r="J56" i="6"/>
  <c r="I56" i="6"/>
  <c r="K55" i="6"/>
  <c r="J55" i="6"/>
  <c r="I55" i="6"/>
  <c r="K54" i="6"/>
  <c r="J54" i="6"/>
  <c r="I54" i="6"/>
  <c r="K53" i="6"/>
  <c r="J53" i="6"/>
  <c r="I53" i="6"/>
  <c r="K52" i="6"/>
  <c r="J52" i="6"/>
  <c r="I52" i="6"/>
  <c r="K51" i="6"/>
  <c r="J51" i="6"/>
  <c r="I51" i="6"/>
  <c r="K50" i="6"/>
  <c r="J50" i="6"/>
  <c r="I50" i="6"/>
  <c r="K46" i="6"/>
  <c r="J46" i="6"/>
  <c r="I46" i="6"/>
  <c r="K45" i="6"/>
  <c r="J45" i="6"/>
  <c r="I45" i="6"/>
  <c r="K44" i="6"/>
  <c r="J44" i="6"/>
  <c r="I44" i="6"/>
  <c r="K43" i="6"/>
  <c r="J43" i="6"/>
  <c r="I43" i="6"/>
  <c r="K42" i="6"/>
  <c r="J42" i="6"/>
  <c r="I42" i="6"/>
  <c r="K41" i="6"/>
  <c r="J41" i="6"/>
  <c r="I41" i="6"/>
  <c r="K40" i="6"/>
  <c r="J40" i="6"/>
  <c r="I40" i="6"/>
  <c r="K39" i="6"/>
  <c r="J39" i="6"/>
  <c r="I39" i="6"/>
  <c r="K35" i="6"/>
  <c r="J35" i="6"/>
  <c r="I35" i="6"/>
  <c r="K34" i="6"/>
  <c r="J34" i="6"/>
  <c r="I34" i="6"/>
  <c r="K33" i="6"/>
  <c r="J33" i="6"/>
  <c r="I33" i="6"/>
  <c r="K32" i="6"/>
  <c r="J32" i="6"/>
  <c r="I32" i="6"/>
  <c r="K31" i="6"/>
  <c r="J31" i="6"/>
  <c r="I31" i="6"/>
  <c r="K30" i="6"/>
  <c r="J30" i="6"/>
  <c r="I30" i="6"/>
  <c r="K29" i="6"/>
  <c r="J29" i="6"/>
  <c r="I29" i="6"/>
  <c r="K28" i="6"/>
  <c r="J28" i="6"/>
  <c r="I28" i="6"/>
  <c r="K24" i="6"/>
  <c r="J24" i="6"/>
  <c r="I24" i="6"/>
  <c r="K23" i="6"/>
  <c r="J23" i="6"/>
  <c r="I23" i="6"/>
  <c r="K22" i="6"/>
  <c r="J22" i="6"/>
  <c r="I22" i="6"/>
  <c r="K21" i="6"/>
  <c r="J21" i="6"/>
  <c r="I21" i="6"/>
  <c r="K20" i="6"/>
  <c r="J20" i="6"/>
  <c r="I20" i="6"/>
  <c r="K19" i="6"/>
  <c r="J19" i="6"/>
  <c r="I19" i="6"/>
  <c r="K18" i="6"/>
  <c r="J18" i="6"/>
  <c r="I18" i="6"/>
  <c r="K17" i="6"/>
  <c r="J17" i="6"/>
  <c r="I17" i="6"/>
  <c r="K13" i="6"/>
  <c r="J13" i="6"/>
  <c r="I13" i="6"/>
  <c r="K12" i="6"/>
  <c r="J12" i="6"/>
  <c r="I12" i="6"/>
  <c r="K11" i="6"/>
  <c r="J11" i="6"/>
  <c r="I11" i="6"/>
  <c r="K10" i="6"/>
  <c r="J10" i="6"/>
  <c r="I10" i="6"/>
  <c r="K9" i="6"/>
  <c r="J9" i="6"/>
  <c r="I9" i="6"/>
  <c r="K8" i="6"/>
  <c r="J8" i="6"/>
  <c r="I8" i="6"/>
  <c r="K7" i="6"/>
  <c r="J7" i="6"/>
  <c r="I7" i="6"/>
  <c r="K6" i="6"/>
  <c r="J6" i="6"/>
  <c r="I6" i="6"/>
  <c r="J93" i="5"/>
  <c r="I93" i="5"/>
  <c r="H93" i="5"/>
  <c r="J92" i="5"/>
  <c r="I92" i="5"/>
  <c r="H92" i="5"/>
  <c r="J91" i="5"/>
  <c r="I91" i="5"/>
  <c r="H91" i="5"/>
  <c r="J90" i="5"/>
  <c r="I90" i="5"/>
  <c r="H90" i="5"/>
  <c r="J89" i="5"/>
  <c r="I89" i="5"/>
  <c r="H89" i="5"/>
  <c r="J88" i="5"/>
  <c r="I88" i="5"/>
  <c r="H88" i="5"/>
  <c r="J87" i="5"/>
  <c r="I87" i="5"/>
  <c r="H87" i="5"/>
  <c r="J86" i="5"/>
  <c r="I86" i="5"/>
  <c r="H86" i="5"/>
  <c r="J85" i="5"/>
  <c r="I85" i="5"/>
  <c r="H85" i="5"/>
  <c r="J84" i="5"/>
  <c r="I84" i="5"/>
  <c r="H84" i="5"/>
  <c r="J80" i="5"/>
  <c r="I80" i="5"/>
  <c r="H80" i="5"/>
  <c r="J79" i="5"/>
  <c r="I79" i="5"/>
  <c r="H79" i="5"/>
  <c r="J78" i="5"/>
  <c r="I78" i="5"/>
  <c r="H78" i="5"/>
  <c r="J77" i="5"/>
  <c r="I77" i="5"/>
  <c r="H77" i="5"/>
  <c r="J76" i="5"/>
  <c r="I76" i="5"/>
  <c r="H76" i="5"/>
  <c r="J75" i="5"/>
  <c r="I75" i="5"/>
  <c r="H75" i="5"/>
  <c r="J74" i="5"/>
  <c r="I74" i="5"/>
  <c r="H74" i="5"/>
  <c r="J73" i="5"/>
  <c r="I73" i="5"/>
  <c r="H73" i="5"/>
  <c r="J72" i="5"/>
  <c r="I72" i="5"/>
  <c r="H72" i="5"/>
  <c r="J71" i="5"/>
  <c r="I71" i="5"/>
  <c r="H71" i="5"/>
  <c r="J67" i="5"/>
  <c r="I67" i="5"/>
  <c r="H67" i="5"/>
  <c r="J66" i="5"/>
  <c r="I66" i="5"/>
  <c r="H66" i="5"/>
  <c r="J65" i="5"/>
  <c r="I65" i="5"/>
  <c r="H65" i="5"/>
  <c r="J64" i="5"/>
  <c r="I64" i="5"/>
  <c r="H64" i="5"/>
  <c r="J63" i="5"/>
  <c r="I63" i="5"/>
  <c r="H63" i="5"/>
  <c r="J62" i="5"/>
  <c r="I62" i="5"/>
  <c r="H62" i="5"/>
  <c r="J61" i="5"/>
  <c r="I61" i="5"/>
  <c r="H61" i="5"/>
  <c r="J60" i="5"/>
  <c r="I60" i="5"/>
  <c r="H60" i="5"/>
  <c r="J59" i="5"/>
  <c r="I59" i="5"/>
  <c r="H59" i="5"/>
  <c r="J58" i="5"/>
  <c r="I58" i="5"/>
  <c r="H58" i="5"/>
  <c r="J54" i="5"/>
  <c r="I54" i="5"/>
  <c r="H54" i="5"/>
  <c r="J53" i="5"/>
  <c r="I53" i="5"/>
  <c r="H53" i="5"/>
  <c r="J52" i="5"/>
  <c r="I52" i="5"/>
  <c r="H52" i="5"/>
  <c r="J51" i="5"/>
  <c r="I51" i="5"/>
  <c r="H51" i="5"/>
  <c r="J50" i="5"/>
  <c r="I50" i="5"/>
  <c r="H50" i="5"/>
  <c r="J49" i="5"/>
  <c r="I49" i="5"/>
  <c r="H49" i="5"/>
  <c r="J48" i="5"/>
  <c r="I48" i="5"/>
  <c r="H48" i="5"/>
  <c r="J47" i="5"/>
  <c r="I47" i="5"/>
  <c r="H47" i="5"/>
  <c r="J46" i="5"/>
  <c r="I46" i="5"/>
  <c r="H46" i="5"/>
  <c r="J45" i="5"/>
  <c r="I45" i="5"/>
  <c r="H45" i="5"/>
  <c r="J41" i="5"/>
  <c r="I41" i="5"/>
  <c r="H41" i="5"/>
  <c r="J40" i="5"/>
  <c r="I40" i="5"/>
  <c r="H40" i="5"/>
  <c r="J39" i="5"/>
  <c r="I39" i="5"/>
  <c r="H39" i="5"/>
  <c r="J38" i="5"/>
  <c r="I38" i="5"/>
  <c r="H38" i="5"/>
  <c r="J37" i="5"/>
  <c r="I37" i="5"/>
  <c r="H37" i="5"/>
  <c r="J36" i="5"/>
  <c r="I36" i="5"/>
  <c r="H36" i="5"/>
  <c r="J35" i="5"/>
  <c r="I35" i="5"/>
  <c r="H35" i="5"/>
  <c r="J34" i="5"/>
  <c r="I34" i="5"/>
  <c r="H34" i="5"/>
  <c r="J33" i="5"/>
  <c r="I33" i="5"/>
  <c r="H33" i="5"/>
  <c r="J32" i="5"/>
  <c r="I32" i="5"/>
  <c r="H32" i="5"/>
  <c r="J28" i="5"/>
  <c r="I28" i="5"/>
  <c r="H28" i="5"/>
  <c r="J27" i="5"/>
  <c r="I27" i="5"/>
  <c r="H27" i="5"/>
  <c r="J26" i="5"/>
  <c r="I26" i="5"/>
  <c r="H26" i="5"/>
  <c r="J25" i="5"/>
  <c r="I25" i="5"/>
  <c r="H25" i="5"/>
  <c r="J24" i="5"/>
  <c r="I24" i="5"/>
  <c r="H24" i="5"/>
  <c r="J23" i="5"/>
  <c r="I23" i="5"/>
  <c r="H23" i="5"/>
  <c r="J22" i="5"/>
  <c r="I22" i="5"/>
  <c r="H22" i="5"/>
  <c r="J21" i="5"/>
  <c r="I21" i="5"/>
  <c r="H21" i="5"/>
  <c r="J20" i="5"/>
  <c r="I20" i="5"/>
  <c r="H20" i="5"/>
  <c r="J19" i="5"/>
  <c r="I19" i="5"/>
  <c r="H19" i="5"/>
  <c r="J15" i="5"/>
  <c r="I15" i="5"/>
  <c r="H15" i="5"/>
  <c r="J14" i="5"/>
  <c r="I14" i="5"/>
  <c r="H14" i="5"/>
  <c r="J13" i="5"/>
  <c r="I13" i="5"/>
  <c r="H13" i="5"/>
  <c r="J12" i="5"/>
  <c r="I12" i="5"/>
  <c r="H12" i="5"/>
  <c r="J11" i="5"/>
  <c r="I11" i="5"/>
  <c r="H11" i="5"/>
  <c r="J10" i="5"/>
  <c r="I10" i="5"/>
  <c r="H10" i="5"/>
  <c r="J9" i="5"/>
  <c r="I9" i="5"/>
  <c r="H9" i="5"/>
  <c r="J8" i="5"/>
  <c r="I8" i="5"/>
  <c r="H8" i="5"/>
  <c r="J7" i="5"/>
  <c r="I7" i="5"/>
  <c r="H7" i="5"/>
  <c r="J6" i="5"/>
  <c r="I6" i="5"/>
  <c r="H6" i="5"/>
  <c r="I114" i="4"/>
  <c r="H114" i="4"/>
  <c r="G114" i="4"/>
  <c r="I113" i="4"/>
  <c r="H113" i="4"/>
  <c r="G113" i="4"/>
  <c r="I112" i="4"/>
  <c r="H112" i="4"/>
  <c r="G112" i="4"/>
  <c r="I111" i="4"/>
  <c r="H111" i="4"/>
  <c r="G111" i="4"/>
  <c r="I110" i="4"/>
  <c r="H110" i="4"/>
  <c r="G110" i="4"/>
  <c r="I109" i="4"/>
  <c r="H109" i="4"/>
  <c r="G109" i="4"/>
  <c r="I108" i="4"/>
  <c r="H108" i="4"/>
  <c r="G108" i="4"/>
  <c r="I107" i="4"/>
  <c r="H107" i="4"/>
  <c r="G107" i="4"/>
  <c r="I106" i="4"/>
  <c r="H106" i="4"/>
  <c r="G106" i="4"/>
  <c r="I105" i="4"/>
  <c r="H105" i="4"/>
  <c r="G105" i="4"/>
  <c r="I104" i="4"/>
  <c r="H104" i="4"/>
  <c r="G104" i="4"/>
  <c r="I103" i="4"/>
  <c r="H103" i="4"/>
  <c r="G103" i="4"/>
  <c r="I102" i="4"/>
  <c r="H102" i="4"/>
  <c r="G102" i="4"/>
  <c r="I98" i="4"/>
  <c r="H98" i="4"/>
  <c r="G98" i="4"/>
  <c r="I97" i="4"/>
  <c r="H97" i="4"/>
  <c r="G97" i="4"/>
  <c r="I96" i="4"/>
  <c r="H96" i="4"/>
  <c r="G96" i="4"/>
  <c r="I95" i="4"/>
  <c r="H95" i="4"/>
  <c r="G95" i="4"/>
  <c r="I94" i="4"/>
  <c r="H94" i="4"/>
  <c r="G94" i="4"/>
  <c r="I93" i="4"/>
  <c r="H93" i="4"/>
  <c r="G93" i="4"/>
  <c r="I92" i="4"/>
  <c r="H92" i="4"/>
  <c r="G92" i="4"/>
  <c r="I91" i="4"/>
  <c r="H91" i="4"/>
  <c r="G91" i="4"/>
  <c r="I90" i="4"/>
  <c r="H90" i="4"/>
  <c r="G90" i="4"/>
  <c r="I89" i="4"/>
  <c r="H89" i="4"/>
  <c r="G89" i="4"/>
  <c r="I88" i="4"/>
  <c r="H88" i="4"/>
  <c r="G88" i="4"/>
  <c r="I87" i="4"/>
  <c r="H87" i="4"/>
  <c r="G87" i="4"/>
  <c r="I86" i="4"/>
  <c r="H86" i="4"/>
  <c r="G86" i="4"/>
  <c r="I82" i="4"/>
  <c r="H82" i="4"/>
  <c r="G82" i="4"/>
  <c r="I81" i="4"/>
  <c r="H81" i="4"/>
  <c r="G81" i="4"/>
  <c r="I80" i="4"/>
  <c r="H80" i="4"/>
  <c r="G80" i="4"/>
  <c r="I79" i="4"/>
  <c r="H79" i="4"/>
  <c r="G79" i="4"/>
  <c r="I78" i="4"/>
  <c r="H78" i="4"/>
  <c r="G78" i="4"/>
  <c r="I77" i="4"/>
  <c r="H77" i="4"/>
  <c r="G77" i="4"/>
  <c r="I76" i="4"/>
  <c r="H76" i="4"/>
  <c r="G76" i="4"/>
  <c r="I75" i="4"/>
  <c r="H75" i="4"/>
  <c r="G75" i="4"/>
  <c r="I74" i="4"/>
  <c r="H74" i="4"/>
  <c r="G74" i="4"/>
  <c r="I73" i="4"/>
  <c r="H73" i="4"/>
  <c r="G73" i="4"/>
  <c r="I72" i="4"/>
  <c r="H72" i="4"/>
  <c r="G72" i="4"/>
  <c r="I71" i="4"/>
  <c r="H71" i="4"/>
  <c r="G71" i="4"/>
  <c r="I70" i="4"/>
  <c r="H70" i="4"/>
  <c r="G70" i="4"/>
  <c r="I66" i="4"/>
  <c r="H66" i="4"/>
  <c r="G66" i="4"/>
  <c r="I65" i="4"/>
  <c r="H65" i="4"/>
  <c r="G65" i="4"/>
  <c r="I64" i="4"/>
  <c r="H64" i="4"/>
  <c r="G64" i="4"/>
  <c r="I63" i="4"/>
  <c r="H63" i="4"/>
  <c r="G63" i="4"/>
  <c r="I62" i="4"/>
  <c r="H62" i="4"/>
  <c r="G62" i="4"/>
  <c r="I61" i="4"/>
  <c r="H61" i="4"/>
  <c r="G61" i="4"/>
  <c r="I60" i="4"/>
  <c r="H60" i="4"/>
  <c r="G60" i="4"/>
  <c r="I59" i="4"/>
  <c r="H59" i="4"/>
  <c r="G59" i="4"/>
  <c r="I58" i="4"/>
  <c r="H58" i="4"/>
  <c r="G58" i="4"/>
  <c r="I57" i="4"/>
  <c r="H57" i="4"/>
  <c r="G57" i="4"/>
  <c r="I56" i="4"/>
  <c r="H56" i="4"/>
  <c r="G56" i="4"/>
  <c r="I55" i="4"/>
  <c r="H55" i="4"/>
  <c r="G55" i="4"/>
  <c r="I54" i="4"/>
  <c r="H54" i="4"/>
  <c r="G54" i="4"/>
  <c r="I50" i="4"/>
  <c r="H50" i="4"/>
  <c r="G50" i="4"/>
  <c r="I49" i="4"/>
  <c r="H49" i="4"/>
  <c r="G49" i="4"/>
  <c r="I48" i="4"/>
  <c r="H48" i="4"/>
  <c r="G48" i="4"/>
  <c r="I47" i="4"/>
  <c r="H47" i="4"/>
  <c r="G47" i="4"/>
  <c r="I46" i="4"/>
  <c r="H46" i="4"/>
  <c r="G46" i="4"/>
  <c r="I45" i="4"/>
  <c r="H45" i="4"/>
  <c r="G45" i="4"/>
  <c r="I44" i="4"/>
  <c r="H44" i="4"/>
  <c r="G44" i="4"/>
  <c r="I43" i="4"/>
  <c r="H43" i="4"/>
  <c r="G43" i="4"/>
  <c r="I42" i="4"/>
  <c r="H42" i="4"/>
  <c r="G42" i="4"/>
  <c r="I41" i="4"/>
  <c r="H41" i="4"/>
  <c r="G41" i="4"/>
  <c r="I40" i="4"/>
  <c r="H40" i="4"/>
  <c r="G40" i="4"/>
  <c r="I39" i="4"/>
  <c r="H39" i="4"/>
  <c r="G39" i="4"/>
  <c r="I38" i="4"/>
  <c r="H38" i="4"/>
  <c r="G38" i="4"/>
  <c r="I34" i="4"/>
  <c r="H34" i="4"/>
  <c r="G34" i="4"/>
  <c r="I33" i="4"/>
  <c r="H33" i="4"/>
  <c r="G33" i="4"/>
  <c r="I32" i="4"/>
  <c r="H32" i="4"/>
  <c r="G32" i="4"/>
  <c r="I31" i="4"/>
  <c r="H31" i="4"/>
  <c r="G31" i="4"/>
  <c r="I30" i="4"/>
  <c r="H30" i="4"/>
  <c r="G30" i="4"/>
  <c r="I29" i="4"/>
  <c r="H29" i="4"/>
  <c r="G29" i="4"/>
  <c r="I28" i="4"/>
  <c r="H28" i="4"/>
  <c r="G28" i="4"/>
  <c r="I27" i="4"/>
  <c r="H27" i="4"/>
  <c r="G27" i="4"/>
  <c r="I26" i="4"/>
  <c r="H26" i="4"/>
  <c r="G26" i="4"/>
  <c r="I25" i="4"/>
  <c r="H25" i="4"/>
  <c r="G25" i="4"/>
  <c r="I24" i="4"/>
  <c r="H24" i="4"/>
  <c r="G24" i="4"/>
  <c r="I23" i="4"/>
  <c r="H23" i="4"/>
  <c r="G23" i="4"/>
  <c r="I22" i="4"/>
  <c r="H22" i="4"/>
  <c r="G22" i="4"/>
  <c r="I18" i="4"/>
  <c r="H18" i="4"/>
  <c r="G18" i="4"/>
  <c r="I17" i="4"/>
  <c r="H17" i="4"/>
  <c r="G17" i="4"/>
  <c r="I16" i="4"/>
  <c r="H16" i="4"/>
  <c r="G16" i="4"/>
  <c r="I15" i="4"/>
  <c r="H15" i="4"/>
  <c r="G15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8" i="4"/>
  <c r="H8" i="4"/>
  <c r="G8" i="4"/>
  <c r="I7" i="4"/>
  <c r="H7" i="4"/>
  <c r="G7" i="4"/>
  <c r="I6" i="4"/>
  <c r="H6" i="4"/>
  <c r="G6" i="4"/>
  <c r="H142" i="3"/>
  <c r="G142" i="3"/>
  <c r="F142" i="3"/>
  <c r="H141" i="3"/>
  <c r="G141" i="3"/>
  <c r="F141" i="3"/>
  <c r="H140" i="3"/>
  <c r="G140" i="3"/>
  <c r="F140" i="3"/>
  <c r="H139" i="3"/>
  <c r="G139" i="3"/>
  <c r="F139" i="3"/>
  <c r="H138" i="3"/>
  <c r="G138" i="3"/>
  <c r="F138" i="3"/>
  <c r="H137" i="3"/>
  <c r="G137" i="3"/>
  <c r="F137" i="3"/>
  <c r="H136" i="3"/>
  <c r="G136" i="3"/>
  <c r="F136" i="3"/>
  <c r="H135" i="3"/>
  <c r="G135" i="3"/>
  <c r="F135" i="3"/>
  <c r="H134" i="3"/>
  <c r="G134" i="3"/>
  <c r="F134" i="3"/>
  <c r="H133" i="3"/>
  <c r="G133" i="3"/>
  <c r="F133" i="3"/>
  <c r="H132" i="3"/>
  <c r="G132" i="3"/>
  <c r="F132" i="3"/>
  <c r="H131" i="3"/>
  <c r="G131" i="3"/>
  <c r="F131" i="3"/>
  <c r="H130" i="3"/>
  <c r="G130" i="3"/>
  <c r="F130" i="3"/>
  <c r="H129" i="3"/>
  <c r="G129" i="3"/>
  <c r="F129" i="3"/>
  <c r="H128" i="3"/>
  <c r="G128" i="3"/>
  <c r="F128" i="3"/>
  <c r="H127" i="3"/>
  <c r="G127" i="3"/>
  <c r="F127" i="3"/>
  <c r="H126" i="3"/>
  <c r="G126" i="3"/>
  <c r="F126" i="3"/>
  <c r="H122" i="3"/>
  <c r="G122" i="3"/>
  <c r="F122" i="3"/>
  <c r="H121" i="3"/>
  <c r="G121" i="3"/>
  <c r="F121" i="3"/>
  <c r="H120" i="3"/>
  <c r="G120" i="3"/>
  <c r="F120" i="3"/>
  <c r="H119" i="3"/>
  <c r="G119" i="3"/>
  <c r="F119" i="3"/>
  <c r="H118" i="3"/>
  <c r="G118" i="3"/>
  <c r="F118" i="3"/>
  <c r="H117" i="3"/>
  <c r="G117" i="3"/>
  <c r="F117" i="3"/>
  <c r="H116" i="3"/>
  <c r="G116" i="3"/>
  <c r="F116" i="3"/>
  <c r="H115" i="3"/>
  <c r="G115" i="3"/>
  <c r="F115" i="3"/>
  <c r="H114" i="3"/>
  <c r="G114" i="3"/>
  <c r="F114" i="3"/>
  <c r="H113" i="3"/>
  <c r="G113" i="3"/>
  <c r="F113" i="3"/>
  <c r="H112" i="3"/>
  <c r="G112" i="3"/>
  <c r="F112" i="3"/>
  <c r="H111" i="3"/>
  <c r="G111" i="3"/>
  <c r="F111" i="3"/>
  <c r="H110" i="3"/>
  <c r="G110" i="3"/>
  <c r="F110" i="3"/>
  <c r="H109" i="3"/>
  <c r="G109" i="3"/>
  <c r="F109" i="3"/>
  <c r="H108" i="3"/>
  <c r="G108" i="3"/>
  <c r="F108" i="3"/>
  <c r="H107" i="3"/>
  <c r="G107" i="3"/>
  <c r="F107" i="3"/>
  <c r="H106" i="3"/>
  <c r="G106" i="3"/>
  <c r="F106" i="3"/>
  <c r="H102" i="3"/>
  <c r="G102" i="3"/>
  <c r="F102" i="3"/>
  <c r="H101" i="3"/>
  <c r="G101" i="3"/>
  <c r="F101" i="3"/>
  <c r="H100" i="3"/>
  <c r="G100" i="3"/>
  <c r="F100" i="3"/>
  <c r="H99" i="3"/>
  <c r="G99" i="3"/>
  <c r="F99" i="3"/>
  <c r="H98" i="3"/>
  <c r="G98" i="3"/>
  <c r="F98" i="3"/>
  <c r="H97" i="3"/>
  <c r="G97" i="3"/>
  <c r="F97" i="3"/>
  <c r="H96" i="3"/>
  <c r="G96" i="3"/>
  <c r="F96" i="3"/>
  <c r="H95" i="3"/>
  <c r="G95" i="3"/>
  <c r="F95" i="3"/>
  <c r="H94" i="3"/>
  <c r="G94" i="3"/>
  <c r="F94" i="3"/>
  <c r="H93" i="3"/>
  <c r="G93" i="3"/>
  <c r="F93" i="3"/>
  <c r="H92" i="3"/>
  <c r="G92" i="3"/>
  <c r="F92" i="3"/>
  <c r="H91" i="3"/>
  <c r="G91" i="3"/>
  <c r="F91" i="3"/>
  <c r="H90" i="3"/>
  <c r="G90" i="3"/>
  <c r="F90" i="3"/>
  <c r="H89" i="3"/>
  <c r="G89" i="3"/>
  <c r="F89" i="3"/>
  <c r="H88" i="3"/>
  <c r="G88" i="3"/>
  <c r="F88" i="3"/>
  <c r="H87" i="3"/>
  <c r="G87" i="3"/>
  <c r="F87" i="3"/>
  <c r="H86" i="3"/>
  <c r="G86" i="3"/>
  <c r="F86" i="3"/>
  <c r="H82" i="3"/>
  <c r="G82" i="3"/>
  <c r="F82" i="3"/>
  <c r="H81" i="3"/>
  <c r="G81" i="3"/>
  <c r="F81" i="3"/>
  <c r="H80" i="3"/>
  <c r="G80" i="3"/>
  <c r="F80" i="3"/>
  <c r="H79" i="3"/>
  <c r="G79" i="3"/>
  <c r="F79" i="3"/>
  <c r="H78" i="3"/>
  <c r="G78" i="3"/>
  <c r="F78" i="3"/>
  <c r="H77" i="3"/>
  <c r="G77" i="3"/>
  <c r="F77" i="3"/>
  <c r="H76" i="3"/>
  <c r="G76" i="3"/>
  <c r="F76" i="3"/>
  <c r="H75" i="3"/>
  <c r="G75" i="3"/>
  <c r="F75" i="3"/>
  <c r="H74" i="3"/>
  <c r="G74" i="3"/>
  <c r="F74" i="3"/>
  <c r="H73" i="3"/>
  <c r="G73" i="3"/>
  <c r="F73" i="3"/>
  <c r="H72" i="3"/>
  <c r="G72" i="3"/>
  <c r="F72" i="3"/>
  <c r="H71" i="3"/>
  <c r="G71" i="3"/>
  <c r="F71" i="3"/>
  <c r="H70" i="3"/>
  <c r="G70" i="3"/>
  <c r="F70" i="3"/>
  <c r="H69" i="3"/>
  <c r="G69" i="3"/>
  <c r="F69" i="3"/>
  <c r="H68" i="3"/>
  <c r="G68" i="3"/>
  <c r="F68" i="3"/>
  <c r="H67" i="3"/>
  <c r="G67" i="3"/>
  <c r="F67" i="3"/>
  <c r="H66" i="3"/>
  <c r="G66" i="3"/>
  <c r="F66" i="3"/>
  <c r="H62" i="3"/>
  <c r="G62" i="3"/>
  <c r="F62" i="3"/>
  <c r="H61" i="3"/>
  <c r="G61" i="3"/>
  <c r="F61" i="3"/>
  <c r="H60" i="3"/>
  <c r="G60" i="3"/>
  <c r="F60" i="3"/>
  <c r="H59" i="3"/>
  <c r="G59" i="3"/>
  <c r="F59" i="3"/>
  <c r="H58" i="3"/>
  <c r="G58" i="3"/>
  <c r="F58" i="3"/>
  <c r="H57" i="3"/>
  <c r="G57" i="3"/>
  <c r="F57" i="3"/>
  <c r="H56" i="3"/>
  <c r="G56" i="3"/>
  <c r="F56" i="3"/>
  <c r="H55" i="3"/>
  <c r="G55" i="3"/>
  <c r="F55" i="3"/>
  <c r="H54" i="3"/>
  <c r="G54" i="3"/>
  <c r="F54" i="3"/>
  <c r="H53" i="3"/>
  <c r="G53" i="3"/>
  <c r="F53" i="3"/>
  <c r="H52" i="3"/>
  <c r="G52" i="3"/>
  <c r="F52" i="3"/>
  <c r="H51" i="3"/>
  <c r="G51" i="3"/>
  <c r="F51" i="3"/>
  <c r="H50" i="3"/>
  <c r="G50" i="3"/>
  <c r="F50" i="3"/>
  <c r="H49" i="3"/>
  <c r="G49" i="3"/>
  <c r="F49" i="3"/>
  <c r="H48" i="3"/>
  <c r="G48" i="3"/>
  <c r="F48" i="3"/>
  <c r="H47" i="3"/>
  <c r="G47" i="3"/>
  <c r="F47" i="3"/>
  <c r="H46" i="3"/>
  <c r="G46" i="3"/>
  <c r="F46" i="3"/>
  <c r="H42" i="3"/>
  <c r="G42" i="3"/>
  <c r="F42" i="3"/>
  <c r="H41" i="3"/>
  <c r="G41" i="3"/>
  <c r="F41" i="3"/>
  <c r="H40" i="3"/>
  <c r="G40" i="3"/>
  <c r="F40" i="3"/>
  <c r="H39" i="3"/>
  <c r="G39" i="3"/>
  <c r="F39" i="3"/>
  <c r="H38" i="3"/>
  <c r="G38" i="3"/>
  <c r="F38" i="3"/>
  <c r="H37" i="3"/>
  <c r="G37" i="3"/>
  <c r="F37" i="3"/>
  <c r="H36" i="3"/>
  <c r="G36" i="3"/>
  <c r="F36" i="3"/>
  <c r="H35" i="3"/>
  <c r="G35" i="3"/>
  <c r="F35" i="3"/>
  <c r="H34" i="3"/>
  <c r="G34" i="3"/>
  <c r="F34" i="3"/>
  <c r="H33" i="3"/>
  <c r="G33" i="3"/>
  <c r="F33" i="3"/>
  <c r="H32" i="3"/>
  <c r="G32" i="3"/>
  <c r="F32" i="3"/>
  <c r="H31" i="3"/>
  <c r="G31" i="3"/>
  <c r="F31" i="3"/>
  <c r="H30" i="3"/>
  <c r="G30" i="3"/>
  <c r="F30" i="3"/>
  <c r="H29" i="3"/>
  <c r="G29" i="3"/>
  <c r="F29" i="3"/>
  <c r="H28" i="3"/>
  <c r="G28" i="3"/>
  <c r="F28" i="3"/>
  <c r="H27" i="3"/>
  <c r="G27" i="3"/>
  <c r="F27" i="3"/>
  <c r="H26" i="3"/>
  <c r="G26" i="3"/>
  <c r="F26" i="3"/>
  <c r="H22" i="3"/>
  <c r="G22" i="3"/>
  <c r="F22" i="3"/>
  <c r="H21" i="3"/>
  <c r="G21" i="3"/>
  <c r="F21" i="3"/>
  <c r="H20" i="3"/>
  <c r="G20" i="3"/>
  <c r="F20" i="3"/>
  <c r="H19" i="3"/>
  <c r="G19" i="3"/>
  <c r="F19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20" i="2"/>
  <c r="G20" i="2"/>
  <c r="F20" i="2"/>
  <c r="H19" i="2"/>
  <c r="G19" i="2"/>
  <c r="F19" i="2"/>
  <c r="H18" i="2"/>
  <c r="G18" i="2"/>
  <c r="F18" i="2"/>
  <c r="H17" i="2"/>
  <c r="G17" i="2"/>
  <c r="F17" i="2"/>
  <c r="H16" i="2"/>
  <c r="G16" i="2"/>
  <c r="F16" i="2"/>
  <c r="H15" i="2"/>
  <c r="G15" i="2"/>
  <c r="F15" i="2"/>
  <c r="H14" i="2"/>
  <c r="G14" i="2"/>
  <c r="F14" i="2"/>
  <c r="H13" i="2"/>
  <c r="G13" i="2"/>
  <c r="F13" i="2"/>
  <c r="H12" i="2"/>
  <c r="G12" i="2"/>
  <c r="F12" i="2"/>
  <c r="H11" i="2"/>
  <c r="G11" i="2"/>
  <c r="F11" i="2"/>
  <c r="H10" i="2"/>
  <c r="G10" i="2"/>
  <c r="F10" i="2"/>
  <c r="H9" i="2"/>
  <c r="G9" i="2"/>
  <c r="F9" i="2"/>
  <c r="H8" i="2"/>
  <c r="G8" i="2"/>
  <c r="F8" i="2"/>
  <c r="H7" i="2"/>
  <c r="G7" i="2"/>
  <c r="F7" i="2"/>
  <c r="H6" i="2"/>
  <c r="G6" i="2"/>
  <c r="F6" i="2"/>
  <c r="H5" i="2"/>
  <c r="G5" i="2"/>
  <c r="F5" i="2"/>
  <c r="H4" i="2"/>
  <c r="G4" i="2"/>
  <c r="F4" i="2"/>
</calcChain>
</file>

<file path=xl/sharedStrings.xml><?xml version="1.0" encoding="utf-8"?>
<sst xmlns="http://schemas.openxmlformats.org/spreadsheetml/2006/main" count="432" uniqueCount="50">
  <si>
    <t>Chance at least one player at the table is void in some suit</t>
  </si>
  <si>
    <t>Blank = a hand size that player count can't deal (max floor(52/N)).</t>
  </si>
  <si>
    <t>Cards</t>
  </si>
  <si>
    <t>3 players</t>
  </si>
  <si>
    <t>4 players</t>
  </si>
  <si>
    <t>5 players</t>
  </si>
  <si>
    <t>6 players</t>
  </si>
  <si>
    <t>7 players</t>
  </si>
  <si>
    <t>One hand of M cards: probability of exactly k voids (same for any number of players)</t>
  </si>
  <si>
    <t>0 voids</t>
  </si>
  <si>
    <t>1 void</t>
  </si>
  <si>
    <t>2 voids</t>
  </si>
  <si>
    <t>3 voids</t>
  </si>
  <si>
    <t>≥1 void</t>
  </si>
  <si>
    <t>≥2 voids</t>
  </si>
  <si>
    <t>Check</t>
  </si>
  <si>
    <t>3 players: how many of them hold k voids</t>
  </si>
  <si>
    <t>Each cell: probability that exactly j of the 3 hands meet the condition, with M cards per hand (max 17). Rows sum to 100%.</t>
  </si>
  <si>
    <t>Exactly 0 voids</t>
  </si>
  <si>
    <t>0 players</t>
  </si>
  <si>
    <t>1 player</t>
  </si>
  <si>
    <t>2 players</t>
  </si>
  <si>
    <t>Expected no.</t>
  </si>
  <si>
    <t>≥1 player</t>
  </si>
  <si>
    <t>Exactly 1 void</t>
  </si>
  <si>
    <t>Exactly 2 voids</t>
  </si>
  <si>
    <t>Exactly 3 voids</t>
  </si>
  <si>
    <t>At least 1 void</t>
  </si>
  <si>
    <t>(mirror of exactly 0: N minus the void-free players)</t>
  </si>
  <si>
    <t>At least 2 voids</t>
  </si>
  <si>
    <t>At least 3 voids</t>
  </si>
  <si>
    <t>(same as exactly 3)</t>
  </si>
  <si>
    <t>4 players: how many of them hold k voids</t>
  </si>
  <si>
    <t>Each cell: probability that exactly j of the 4 hands meet the condition, with M cards per hand (max 13). Rows sum to 100%.</t>
  </si>
  <si>
    <t>5 players: how many of them hold k voids</t>
  </si>
  <si>
    <t>Each cell: probability that exactly j of the 5 hands meet the condition, with M cards per hand (max 10). Rows sum to 100%.</t>
  </si>
  <si>
    <t>6 players: how many of them hold k voids</t>
  </si>
  <si>
    <t>Each cell: probability that exactly j of the 6 hands meet the condition, with M cards per hand (max 8). Rows sum to 100%.</t>
  </si>
  <si>
    <t>7 players: how many of them hold k voids</t>
  </si>
  <si>
    <t>Each cell: probability that exactly j of the 7 hands meet the condition, with M cards per hand (max 7). Rows sum to 100%.</t>
  </si>
  <si>
    <t>Method</t>
  </si>
  <si>
    <t>Exact enumeration, not simulation, by void_odds.py. Every deal is classified by its suit-count matrix (cards of each suit in each hand).</t>
  </si>
  <si>
    <t>A dynamic program over the N hands counts the deals for each matrix while tracking how many hands meet the void condition.</t>
  </si>
  <si>
    <t>Checks: the total count equals 52! / (M!^N (52-NM)!); expected qualifying hands equal N x the single-hand probability;</t>
  </si>
  <si>
    <t>and 'no player with at least 1 void' equals 'all players with exactly 0 voids'.</t>
  </si>
  <si>
    <t>Reading it</t>
  </si>
  <si>
    <t>'Exactly k' and 'at least k' count players, so the at-least tables are not sums of the exactly tables; each was computed on its own.</t>
  </si>
  <si>
    <t>Standard 52-card deck, M cards to each of N players, the rest undealt. Turning up a trump card does not change these odds.</t>
  </si>
  <si>
    <t>Probability cells are computed values; Expected no., ≥1 player, ≥ columns on Single hand, and Check are live formulas.</t>
  </si>
  <si>
    <t>Source: https://agniel.github.io/vibecode/ohhell.html#voids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</si>
</sst>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i/>
      <sz val="10"/>
      <color rgb="FF5E6B63"/>
      <name val="Arial"/>
      <family val="2"/>
    </font>
    <font>
      <b/>
      <sz val="11"/>
      <color rgb="FF0B1F17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B1F17"/>
      </patternFill>
    </fill>
    <fill>
      <patternFill patternType="solid">
        <fgColor rgb="FFDCE6E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C8C2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165" fontId="6" fillId="0" borderId="1" xfId="0" applyNumberFormat="1" applyFont="1" applyBorder="1"/>
    <xf numFmtId="0" fontId="0" fillId="0" borderId="1" xfId="0" applyBorder="1"/>
    <xf numFmtId="0" fontId="5" fillId="0" borderId="1" xfId="0" applyFont="1" applyBorder="1" applyAlignment="1">
      <alignment horizontal="center"/>
    </xf>
    <xf numFmtId="10" fontId="6" fillId="0" borderId="1" xfId="0" applyNumberFormat="1" applyFont="1" applyBorder="1"/>
    <xf numFmtId="165" fontId="0" fillId="0" borderId="1" xfId="0" applyNumberFormat="1" applyBorder="1"/>
    <xf numFmtId="0" fontId="3" fillId="0" borderId="0" xfId="0" applyFont="1"/>
    <xf numFmtId="164" fontId="6" fillId="0" borderId="1" xfId="0" applyNumberFormat="1" applyFont="1" applyBorder="1"/>
    <xf numFmtId="10" fontId="6" fillId="3" borderId="1" xfId="0" applyNumberFormat="1" applyFont="1" applyFill="1" applyBorder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workbookViewId="0">
      <selection activeCell="B6" sqref="B6"/>
    </sheetView>
  </sheetViews>
  <sheetFormatPr defaultRowHeight="15" x14ac:dyDescent="0.25"/>
  <cols>
    <col min="1" max="6" width="12" customWidth="1"/>
  </cols>
  <sheetData>
    <row r="1" spans="1:6" ht="16.5" x14ac:dyDescent="0.25">
      <c r="A1" s="1" t="s">
        <v>0</v>
      </c>
    </row>
    <row r="2" spans="1:6" x14ac:dyDescent="0.25">
      <c r="A2" s="2" t="s">
        <v>1</v>
      </c>
    </row>
    <row r="4" spans="1:6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spans="1:6" x14ac:dyDescent="0.25">
      <c r="A5" s="4">
        <v>1</v>
      </c>
      <c r="B5" s="5">
        <v>1</v>
      </c>
      <c r="C5" s="5">
        <v>1</v>
      </c>
      <c r="D5" s="5">
        <v>1</v>
      </c>
      <c r="E5" s="5">
        <v>1</v>
      </c>
      <c r="F5" s="5">
        <v>1</v>
      </c>
    </row>
    <row r="6" spans="1:6" x14ac:dyDescent="0.25">
      <c r="A6" s="4">
        <v>2</v>
      </c>
      <c r="B6" s="5">
        <v>1</v>
      </c>
      <c r="C6" s="5">
        <v>1</v>
      </c>
      <c r="D6" s="5">
        <v>1</v>
      </c>
      <c r="E6" s="5">
        <v>1</v>
      </c>
      <c r="F6" s="5">
        <v>1</v>
      </c>
    </row>
    <row r="7" spans="1:6" x14ac:dyDescent="0.25">
      <c r="A7" s="4">
        <v>3</v>
      </c>
      <c r="B7" s="5">
        <v>1</v>
      </c>
      <c r="C7" s="5">
        <v>1</v>
      </c>
      <c r="D7" s="5">
        <v>1</v>
      </c>
      <c r="E7" s="5">
        <v>1</v>
      </c>
      <c r="F7" s="5">
        <v>1</v>
      </c>
    </row>
    <row r="8" spans="1:6" x14ac:dyDescent="0.25">
      <c r="A8" s="4">
        <v>4</v>
      </c>
      <c r="B8" s="5">
        <v>0.99878745033732708</v>
      </c>
      <c r="C8" s="5">
        <v>0.99986732140686363</v>
      </c>
      <c r="D8" s="5">
        <v>0.99998522189543215</v>
      </c>
      <c r="E8" s="5">
        <v>0.99999831670978001</v>
      </c>
      <c r="F8" s="5">
        <v>0.99999980260904431</v>
      </c>
    </row>
    <row r="9" spans="1:6" x14ac:dyDescent="0.25">
      <c r="A9" s="4">
        <v>5</v>
      </c>
      <c r="B9" s="5">
        <v>0.98105391152073551</v>
      </c>
      <c r="C9" s="5">
        <v>0.99481724245561209</v>
      </c>
      <c r="D9" s="5">
        <v>0.99855682572579874</v>
      </c>
      <c r="E9" s="5">
        <v>0.99958904047364239</v>
      </c>
      <c r="F9" s="5">
        <v>0.99987952212176012</v>
      </c>
    </row>
    <row r="10" spans="1:6" x14ac:dyDescent="0.25">
      <c r="A10" s="4">
        <v>6</v>
      </c>
      <c r="B10" s="5">
        <v>0.92013089274402948</v>
      </c>
      <c r="C10" s="5">
        <v>0.96479854160413747</v>
      </c>
      <c r="D10" s="5">
        <v>0.98424107578354803</v>
      </c>
      <c r="E10" s="5">
        <v>0.99280747661794333</v>
      </c>
      <c r="F10" s="5">
        <v>0.99663595778920533</v>
      </c>
    </row>
    <row r="11" spans="1:6" x14ac:dyDescent="0.25">
      <c r="A11" s="4">
        <v>7</v>
      </c>
      <c r="B11" s="5">
        <v>0.81060027174637894</v>
      </c>
      <c r="C11" s="5">
        <v>0.88912093946745696</v>
      </c>
      <c r="D11" s="5">
        <v>0.93427170042045449</v>
      </c>
      <c r="E11" s="5">
        <v>0.9604482944668532</v>
      </c>
      <c r="F11" s="5">
        <v>0.97576241486660531</v>
      </c>
    </row>
    <row r="12" spans="1:6" x14ac:dyDescent="0.25">
      <c r="A12" s="4">
        <v>8</v>
      </c>
      <c r="B12" s="5">
        <v>0.67156415691016169</v>
      </c>
      <c r="C12" s="5">
        <v>0.76997529266336162</v>
      </c>
      <c r="D12" s="5">
        <v>0.83738872764549055</v>
      </c>
      <c r="E12" s="5">
        <v>0.88380066577279104</v>
      </c>
      <c r="F12" s="6"/>
    </row>
    <row r="13" spans="1:6" x14ac:dyDescent="0.25">
      <c r="A13" s="4">
        <v>9</v>
      </c>
      <c r="B13" s="5">
        <v>0.52804288497339924</v>
      </c>
      <c r="C13" s="5">
        <v>0.62844516328523969</v>
      </c>
      <c r="D13" s="5">
        <v>0.70555483032908572</v>
      </c>
      <c r="E13" s="6"/>
      <c r="F13" s="6"/>
    </row>
    <row r="14" spans="1:6" x14ac:dyDescent="0.25">
      <c r="A14" s="4">
        <v>10</v>
      </c>
      <c r="B14" s="5">
        <v>0.39807669849339972</v>
      </c>
      <c r="C14" s="5">
        <v>0.48776529346983372</v>
      </c>
      <c r="D14" s="5">
        <v>0.56214273708394658</v>
      </c>
      <c r="E14" s="6"/>
      <c r="F14" s="6"/>
    </row>
    <row r="15" spans="1:6" x14ac:dyDescent="0.25">
      <c r="A15" s="4">
        <v>11</v>
      </c>
      <c r="B15" s="5">
        <v>0.29018382017139538</v>
      </c>
      <c r="C15" s="5">
        <v>0.36342083919303553</v>
      </c>
      <c r="D15" s="6"/>
      <c r="E15" s="6"/>
      <c r="F15" s="6"/>
    </row>
    <row r="16" spans="1:6" x14ac:dyDescent="0.25">
      <c r="A16" s="4">
        <v>12</v>
      </c>
      <c r="B16" s="5">
        <v>0.20583890565725491</v>
      </c>
      <c r="C16" s="5">
        <v>0.26197515554977208</v>
      </c>
      <c r="D16" s="6"/>
      <c r="E16" s="6"/>
      <c r="F16" s="6"/>
    </row>
    <row r="17" spans="1:6" x14ac:dyDescent="0.25">
      <c r="A17" s="4">
        <v>13</v>
      </c>
      <c r="B17" s="5">
        <v>0.14269613273724729</v>
      </c>
      <c r="C17" s="5">
        <v>0.183766327186213</v>
      </c>
      <c r="D17" s="6"/>
      <c r="E17" s="6"/>
      <c r="F17" s="6"/>
    </row>
    <row r="18" spans="1:6" x14ac:dyDescent="0.25">
      <c r="A18" s="4">
        <v>14</v>
      </c>
      <c r="B18" s="5">
        <v>9.6946049645710852E-2</v>
      </c>
      <c r="C18" s="6"/>
      <c r="D18" s="6"/>
      <c r="E18" s="6"/>
      <c r="F18" s="6"/>
    </row>
    <row r="19" spans="1:6" x14ac:dyDescent="0.25">
      <c r="A19" s="4">
        <v>15</v>
      </c>
      <c r="B19" s="5">
        <v>6.4650493775246232E-2</v>
      </c>
      <c r="C19" s="6"/>
      <c r="D19" s="6"/>
      <c r="E19" s="6"/>
      <c r="F19" s="6"/>
    </row>
    <row r="20" spans="1:6" x14ac:dyDescent="0.25">
      <c r="A20" s="4">
        <v>16</v>
      </c>
      <c r="B20" s="5">
        <v>4.234984066422276E-2</v>
      </c>
      <c r="C20" s="6"/>
      <c r="D20" s="6"/>
      <c r="E20" s="6"/>
      <c r="F20" s="6"/>
    </row>
    <row r="21" spans="1:6" x14ac:dyDescent="0.25">
      <c r="A21" s="4">
        <v>17</v>
      </c>
      <c r="B21" s="5">
        <v>2.7252715579947791E-2</v>
      </c>
      <c r="C21" s="6"/>
      <c r="D21" s="6"/>
      <c r="E21" s="6"/>
      <c r="F21" s="6"/>
    </row>
  </sheetData>
  <conditionalFormatting sqref="B5:F21">
    <cfRule type="colorScale" priority="1">
      <colorScale>
        <cfvo type="num" val="0"/>
        <cfvo type="num" val="1"/>
        <color rgb="FFFFFFFF"/>
        <color rgb="FF4F9A6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workbookViewId="0">
      <selection activeCell="I13" sqref="I13"/>
    </sheetView>
  </sheetViews>
  <sheetFormatPr defaultRowHeight="15" x14ac:dyDescent="0.25"/>
  <cols>
    <col min="1" max="8" width="11" customWidth="1"/>
  </cols>
  <sheetData>
    <row r="1" spans="1:8" ht="16.5" x14ac:dyDescent="0.25">
      <c r="A1" s="1" t="s">
        <v>8</v>
      </c>
    </row>
    <row r="3" spans="1:8" x14ac:dyDescent="0.25">
      <c r="A3" s="3" t="s">
        <v>2</v>
      </c>
      <c r="B3" s="3" t="s">
        <v>9</v>
      </c>
      <c r="C3" s="3" t="s">
        <v>10</v>
      </c>
      <c r="D3" s="3" t="s">
        <v>11</v>
      </c>
      <c r="E3" s="3" t="s">
        <v>12</v>
      </c>
      <c r="F3" s="3" t="s">
        <v>13</v>
      </c>
      <c r="G3" s="3" t="s">
        <v>14</v>
      </c>
      <c r="H3" s="3" t="s">
        <v>15</v>
      </c>
    </row>
    <row r="4" spans="1:8" x14ac:dyDescent="0.25">
      <c r="A4" s="7">
        <v>1</v>
      </c>
      <c r="B4" s="8">
        <v>0</v>
      </c>
      <c r="C4" s="8">
        <v>0</v>
      </c>
      <c r="D4" s="8">
        <v>0</v>
      </c>
      <c r="E4" s="8">
        <v>1</v>
      </c>
      <c r="F4" s="8">
        <f t="shared" ref="F4:F20" si="0">SUM(C4:E4)</f>
        <v>1</v>
      </c>
      <c r="G4" s="8">
        <f t="shared" ref="G4:G20" si="1">SUM(D4:E4)</f>
        <v>1</v>
      </c>
      <c r="H4" s="9">
        <f t="shared" ref="H4:H20" si="2">SUM(B4:E4)</f>
        <v>1</v>
      </c>
    </row>
    <row r="5" spans="1:8" x14ac:dyDescent="0.25">
      <c r="A5" s="7">
        <v>2</v>
      </c>
      <c r="B5" s="8">
        <v>0</v>
      </c>
      <c r="C5" s="8">
        <v>0</v>
      </c>
      <c r="D5" s="8">
        <v>0.76470588235294112</v>
      </c>
      <c r="E5" s="8">
        <v>0.23529411764705879</v>
      </c>
      <c r="F5" s="8">
        <f t="shared" si="0"/>
        <v>0.99999999999999989</v>
      </c>
      <c r="G5" s="8">
        <f t="shared" si="1"/>
        <v>0.99999999999999989</v>
      </c>
      <c r="H5" s="9">
        <f t="shared" si="2"/>
        <v>0.99999999999999989</v>
      </c>
    </row>
    <row r="6" spans="1:8" x14ac:dyDescent="0.25">
      <c r="A6" s="7">
        <v>3</v>
      </c>
      <c r="B6" s="8">
        <v>0</v>
      </c>
      <c r="C6" s="8">
        <v>0.39764705882352941</v>
      </c>
      <c r="D6" s="8">
        <v>0.5505882352941176</v>
      </c>
      <c r="E6" s="8">
        <v>5.1764705882352942E-2</v>
      </c>
      <c r="F6" s="8">
        <f t="shared" si="0"/>
        <v>1</v>
      </c>
      <c r="G6" s="8">
        <f t="shared" si="1"/>
        <v>0.60235294117647054</v>
      </c>
      <c r="H6" s="9">
        <f t="shared" si="2"/>
        <v>1</v>
      </c>
    </row>
    <row r="7" spans="1:8" x14ac:dyDescent="0.25">
      <c r="A7" s="7">
        <v>4</v>
      </c>
      <c r="B7" s="8">
        <v>0.10549819927971189</v>
      </c>
      <c r="C7" s="8">
        <v>0.58429771908763506</v>
      </c>
      <c r="D7" s="8">
        <v>0.29963985594237702</v>
      </c>
      <c r="E7" s="8">
        <v>1.0564225690276111E-2</v>
      </c>
      <c r="F7" s="8">
        <f t="shared" si="0"/>
        <v>0.89450180072028818</v>
      </c>
      <c r="G7" s="8">
        <f t="shared" si="1"/>
        <v>0.31020408163265312</v>
      </c>
      <c r="H7" s="9">
        <f t="shared" si="2"/>
        <v>1</v>
      </c>
    </row>
    <row r="8" spans="1:8" x14ac:dyDescent="0.25">
      <c r="A8" s="7">
        <v>5</v>
      </c>
      <c r="B8" s="8">
        <v>0.26374549819927973</v>
      </c>
      <c r="C8" s="8">
        <v>0.5883553421368547</v>
      </c>
      <c r="D8" s="8">
        <v>0.1459183673469388</v>
      </c>
      <c r="E8" s="8">
        <v>1.9807923169267712E-3</v>
      </c>
      <c r="F8" s="8">
        <f t="shared" si="0"/>
        <v>0.73625450180072016</v>
      </c>
      <c r="G8" s="8">
        <f t="shared" si="1"/>
        <v>0.14789915966386558</v>
      </c>
      <c r="H8" s="9">
        <f t="shared" si="2"/>
        <v>0.99999999999999989</v>
      </c>
    </row>
    <row r="9" spans="1:8" x14ac:dyDescent="0.25">
      <c r="A9" s="7">
        <v>6</v>
      </c>
      <c r="B9" s="8">
        <v>0.42648208219457989</v>
      </c>
      <c r="C9" s="8">
        <v>0.50633955709943557</v>
      </c>
      <c r="D9" s="8">
        <v>6.6841204566933154E-2</v>
      </c>
      <c r="E9" s="8">
        <v>3.3715613905136523E-4</v>
      </c>
      <c r="F9" s="8">
        <f t="shared" si="0"/>
        <v>0.57351791780542005</v>
      </c>
      <c r="G9" s="8">
        <f t="shared" si="1"/>
        <v>6.7178360705984513E-2</v>
      </c>
      <c r="H9" s="9">
        <f t="shared" si="2"/>
        <v>0.99999999999999989</v>
      </c>
    </row>
    <row r="10" spans="1:8" x14ac:dyDescent="0.25">
      <c r="A10" s="7">
        <v>7</v>
      </c>
      <c r="B10" s="8">
        <v>0.56957804398355083</v>
      </c>
      <c r="C10" s="8">
        <v>0.40102340658742691</v>
      </c>
      <c r="D10" s="8">
        <v>2.9347243060036221E-2</v>
      </c>
      <c r="E10" s="8">
        <v>5.1306368986077322E-5</v>
      </c>
      <c r="F10" s="8">
        <f t="shared" si="0"/>
        <v>0.43042195601644923</v>
      </c>
      <c r="G10" s="8">
        <f t="shared" si="1"/>
        <v>2.93985494290223E-2</v>
      </c>
      <c r="H10" s="9">
        <f t="shared" si="2"/>
        <v>1</v>
      </c>
    </row>
    <row r="11" spans="1:8" x14ac:dyDescent="0.25">
      <c r="A11" s="7">
        <v>8</v>
      </c>
      <c r="B11" s="8">
        <v>0.68542925033102975</v>
      </c>
      <c r="C11" s="8">
        <v>0.30212838511908002</v>
      </c>
      <c r="D11" s="8">
        <v>1.2435523700692119E-2</v>
      </c>
      <c r="E11" s="8">
        <v>6.8408491981436421E-6</v>
      </c>
      <c r="F11" s="8">
        <f t="shared" si="0"/>
        <v>0.31457074966897031</v>
      </c>
      <c r="G11" s="8">
        <f t="shared" si="1"/>
        <v>1.2442364549890263E-2</v>
      </c>
      <c r="H11" s="9">
        <f t="shared" si="2"/>
        <v>1</v>
      </c>
    </row>
    <row r="12" spans="1:8" x14ac:dyDescent="0.25">
      <c r="A12" s="7">
        <v>9</v>
      </c>
      <c r="B12" s="8">
        <v>0.77469445502530332</v>
      </c>
      <c r="C12" s="8">
        <v>0.22021144442976079</v>
      </c>
      <c r="D12" s="8">
        <v>5.0933231757087664E-3</v>
      </c>
      <c r="E12" s="8">
        <v>7.7736922706177753E-7</v>
      </c>
      <c r="F12" s="8">
        <f t="shared" si="0"/>
        <v>0.22530554497469663</v>
      </c>
      <c r="G12" s="8">
        <f t="shared" si="1"/>
        <v>5.0941005449358281E-3</v>
      </c>
      <c r="H12" s="9">
        <f t="shared" si="2"/>
        <v>1</v>
      </c>
    </row>
    <row r="13" spans="1:8" x14ac:dyDescent="0.25">
      <c r="A13" s="7">
        <v>10</v>
      </c>
      <c r="B13" s="8">
        <v>0.84127000799244034</v>
      </c>
      <c r="C13" s="8">
        <v>0.15671557524328489</v>
      </c>
      <c r="D13" s="8">
        <v>2.014344450858243E-3</v>
      </c>
      <c r="E13" s="8">
        <v>7.2313416470863029E-8</v>
      </c>
      <c r="F13" s="8">
        <f t="shared" si="0"/>
        <v>0.15872999200755961</v>
      </c>
      <c r="G13" s="8">
        <f t="shared" si="1"/>
        <v>2.014416764274714E-3</v>
      </c>
      <c r="H13" s="9">
        <f t="shared" si="2"/>
        <v>0.99999999999999989</v>
      </c>
    </row>
    <row r="14" spans="1:8" x14ac:dyDescent="0.25">
      <c r="A14" s="7">
        <v>11</v>
      </c>
      <c r="B14" s="8">
        <v>0.8897772098534571</v>
      </c>
      <c r="C14" s="8">
        <v>0.1094553485185137</v>
      </c>
      <c r="D14" s="8">
        <v>7.6743646278510118E-4</v>
      </c>
      <c r="E14" s="8">
        <v>5.165244033633073E-9</v>
      </c>
      <c r="F14" s="8">
        <f t="shared" si="0"/>
        <v>0.11022279014654283</v>
      </c>
      <c r="G14" s="8">
        <f t="shared" si="1"/>
        <v>7.6744162802913477E-4</v>
      </c>
      <c r="H14" s="9">
        <f t="shared" si="2"/>
        <v>0.99999999999999989</v>
      </c>
    </row>
    <row r="15" spans="1:8" x14ac:dyDescent="0.25">
      <c r="A15" s="7">
        <v>12</v>
      </c>
      <c r="B15" s="8">
        <v>0.92448256426176634</v>
      </c>
      <c r="C15" s="8">
        <v>7.523666113538531E-2</v>
      </c>
      <c r="D15" s="8">
        <v>2.8077435088521533E-4</v>
      </c>
      <c r="E15" s="8">
        <v>2.5196312359185719E-10</v>
      </c>
      <c r="F15" s="8">
        <f t="shared" si="0"/>
        <v>7.5517435738233649E-2</v>
      </c>
      <c r="G15" s="8">
        <f t="shared" si="1"/>
        <v>2.8077460284833892E-4</v>
      </c>
      <c r="H15" s="9">
        <f t="shared" si="2"/>
        <v>1</v>
      </c>
    </row>
    <row r="16" spans="1:8" x14ac:dyDescent="0.25">
      <c r="A16" s="7">
        <v>13</v>
      </c>
      <c r="B16" s="8">
        <v>0.94893447913076656</v>
      </c>
      <c r="C16" s="8">
        <v>5.0967249594460473E-2</v>
      </c>
      <c r="D16" s="8">
        <v>9.8271268473870869E-5</v>
      </c>
      <c r="E16" s="8">
        <v>6.2990780897964311E-12</v>
      </c>
      <c r="F16" s="8">
        <f t="shared" si="0"/>
        <v>5.1065520869233424E-2</v>
      </c>
      <c r="G16" s="8">
        <f t="shared" si="1"/>
        <v>9.8271274772948963E-5</v>
      </c>
      <c r="H16" s="9">
        <f t="shared" si="2"/>
        <v>0.99999999999999989</v>
      </c>
    </row>
    <row r="17" spans="1:8" x14ac:dyDescent="0.25">
      <c r="A17" s="7">
        <v>14</v>
      </c>
      <c r="B17" s="8">
        <v>0.96592356232892007</v>
      </c>
      <c r="C17" s="8">
        <v>3.4043680575289559E-2</v>
      </c>
      <c r="D17" s="8">
        <v>3.2757095790368379E-5</v>
      </c>
      <c r="E17" s="8">
        <v>0</v>
      </c>
      <c r="F17" s="8">
        <f t="shared" si="0"/>
        <v>3.4076437671079929E-2</v>
      </c>
      <c r="G17" s="8">
        <f t="shared" si="1"/>
        <v>3.2757095790368379E-5</v>
      </c>
      <c r="H17" s="9">
        <f t="shared" si="2"/>
        <v>1</v>
      </c>
    </row>
    <row r="18" spans="1:8" x14ac:dyDescent="0.25">
      <c r="A18" s="7">
        <v>15</v>
      </c>
      <c r="B18" s="8">
        <v>0.97757008463099282</v>
      </c>
      <c r="C18" s="8">
        <v>2.241957102296812E-2</v>
      </c>
      <c r="D18" s="8">
        <v>1.03443460390637E-5</v>
      </c>
      <c r="E18" s="8">
        <v>0</v>
      </c>
      <c r="F18" s="8">
        <f t="shared" si="0"/>
        <v>2.2429915369007184E-2</v>
      </c>
      <c r="G18" s="8">
        <f t="shared" si="1"/>
        <v>1.03443460390637E-5</v>
      </c>
      <c r="H18" s="9">
        <f t="shared" si="2"/>
        <v>1</v>
      </c>
    </row>
    <row r="19" spans="1:8" x14ac:dyDescent="0.25">
      <c r="A19" s="7">
        <v>16</v>
      </c>
      <c r="B19" s="8">
        <v>0.98544723120663025</v>
      </c>
      <c r="C19" s="8">
        <v>1.4549693447250021E-2</v>
      </c>
      <c r="D19" s="8">
        <v>3.07534611972164E-6</v>
      </c>
      <c r="E19" s="8">
        <v>0</v>
      </c>
      <c r="F19" s="8">
        <f t="shared" si="0"/>
        <v>1.4552768793369742E-2</v>
      </c>
      <c r="G19" s="8">
        <f t="shared" si="1"/>
        <v>3.07534611972164E-6</v>
      </c>
      <c r="H19" s="9">
        <f t="shared" si="2"/>
        <v>1</v>
      </c>
    </row>
    <row r="20" spans="1:8" x14ac:dyDescent="0.25">
      <c r="A20" s="7">
        <v>17</v>
      </c>
      <c r="B20" s="8">
        <v>0.99070128717369277</v>
      </c>
      <c r="C20" s="8">
        <v>9.2978585634961967E-3</v>
      </c>
      <c r="D20" s="8">
        <v>8.5426281103378889E-7</v>
      </c>
      <c r="E20" s="8">
        <v>0</v>
      </c>
      <c r="F20" s="8">
        <f t="shared" si="0"/>
        <v>9.2987128263072299E-3</v>
      </c>
      <c r="G20" s="8">
        <f t="shared" si="1"/>
        <v>8.5426281103378889E-7</v>
      </c>
      <c r="H20" s="9">
        <f t="shared" si="2"/>
        <v>1</v>
      </c>
    </row>
  </sheetData>
  <conditionalFormatting sqref="B4:G20">
    <cfRule type="colorScale" priority="1">
      <colorScale>
        <cfvo type="num" val="0"/>
        <cfvo type="num" val="1"/>
        <color rgb="FFFFFFFF"/>
        <color rgb="FF4F9A6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2"/>
  <sheetViews>
    <sheetView workbookViewId="0">
      <pane xSplit="1" ySplit="3" topLeftCell="B4" activePane="bottomRight" state="frozen"/>
      <selection pane="topRight"/>
      <selection pane="bottomLeft"/>
      <selection pane="bottomRight" activeCell="B6" sqref="B6"/>
    </sheetView>
  </sheetViews>
  <sheetFormatPr defaultRowHeight="15" x14ac:dyDescent="0.25"/>
  <cols>
    <col min="1" max="1" width="9" customWidth="1"/>
    <col min="2" max="5" width="11" customWidth="1"/>
    <col min="6" max="6" width="12" customWidth="1"/>
    <col min="7" max="7" width="11" customWidth="1"/>
    <col min="8" max="8" width="9" customWidth="1"/>
  </cols>
  <sheetData>
    <row r="1" spans="1:8" ht="16.5" x14ac:dyDescent="0.25">
      <c r="A1" s="1" t="s">
        <v>16</v>
      </c>
    </row>
    <row r="2" spans="1:8" x14ac:dyDescent="0.25">
      <c r="A2" s="2" t="s">
        <v>17</v>
      </c>
    </row>
    <row r="4" spans="1:8" x14ac:dyDescent="0.25">
      <c r="A4" s="10" t="s">
        <v>18</v>
      </c>
    </row>
    <row r="5" spans="1:8" x14ac:dyDescent="0.25">
      <c r="A5" s="3" t="s">
        <v>2</v>
      </c>
      <c r="B5" s="3" t="s">
        <v>19</v>
      </c>
      <c r="C5" s="3" t="s">
        <v>20</v>
      </c>
      <c r="D5" s="3" t="s">
        <v>21</v>
      </c>
      <c r="E5" s="3" t="s">
        <v>3</v>
      </c>
      <c r="F5" s="3" t="s">
        <v>22</v>
      </c>
      <c r="G5" s="3" t="s">
        <v>23</v>
      </c>
      <c r="H5" s="3" t="s">
        <v>15</v>
      </c>
    </row>
    <row r="6" spans="1:8" x14ac:dyDescent="0.25">
      <c r="A6" s="7">
        <v>1</v>
      </c>
      <c r="B6" s="8">
        <v>1</v>
      </c>
      <c r="C6" s="8">
        <v>0</v>
      </c>
      <c r="D6" s="8">
        <v>0</v>
      </c>
      <c r="E6" s="8">
        <v>0</v>
      </c>
      <c r="F6" s="11">
        <f t="shared" ref="F6:F22" si="0">1*C6+2*D6+3*E6</f>
        <v>0</v>
      </c>
      <c r="G6" s="12">
        <f t="shared" ref="G6:G22" si="1">1-B6</f>
        <v>0</v>
      </c>
      <c r="H6" s="5">
        <f t="shared" ref="H6:H22" si="2">SUM(B6:E6)</f>
        <v>1</v>
      </c>
    </row>
    <row r="7" spans="1:8" x14ac:dyDescent="0.25">
      <c r="A7" s="7">
        <v>2</v>
      </c>
      <c r="B7" s="8">
        <v>1</v>
      </c>
      <c r="C7" s="8">
        <v>0</v>
      </c>
      <c r="D7" s="8">
        <v>0</v>
      </c>
      <c r="E7" s="8">
        <v>0</v>
      </c>
      <c r="F7" s="11">
        <f t="shared" si="0"/>
        <v>0</v>
      </c>
      <c r="G7" s="12">
        <f t="shared" si="1"/>
        <v>0</v>
      </c>
      <c r="H7" s="5">
        <f t="shared" si="2"/>
        <v>1</v>
      </c>
    </row>
    <row r="8" spans="1:8" x14ac:dyDescent="0.25">
      <c r="A8" s="7">
        <v>3</v>
      </c>
      <c r="B8" s="8">
        <v>1</v>
      </c>
      <c r="C8" s="8">
        <v>0</v>
      </c>
      <c r="D8" s="8">
        <v>0</v>
      </c>
      <c r="E8" s="8">
        <v>0</v>
      </c>
      <c r="F8" s="11">
        <f t="shared" si="0"/>
        <v>0</v>
      </c>
      <c r="G8" s="12">
        <f t="shared" si="1"/>
        <v>0</v>
      </c>
      <c r="H8" s="5">
        <f t="shared" si="2"/>
        <v>1</v>
      </c>
    </row>
    <row r="9" spans="1:8" x14ac:dyDescent="0.25">
      <c r="A9" s="7">
        <v>4</v>
      </c>
      <c r="B9" s="8">
        <v>0.71602104645847675</v>
      </c>
      <c r="C9" s="8">
        <v>0.25267585890658378</v>
      </c>
      <c r="D9" s="8">
        <v>3.0090544972266538E-2</v>
      </c>
      <c r="E9" s="8">
        <v>1.212549662672927E-3</v>
      </c>
      <c r="F9" s="11">
        <f t="shared" si="0"/>
        <v>0.31649459783913564</v>
      </c>
      <c r="G9" s="12">
        <f t="shared" si="1"/>
        <v>0.28397895354152325</v>
      </c>
      <c r="H9" s="5">
        <f t="shared" si="2"/>
        <v>0.99999999999999989</v>
      </c>
    </row>
    <row r="10" spans="1:8" x14ac:dyDescent="0.25">
      <c r="A10" s="7">
        <v>5</v>
      </c>
      <c r="B10" s="8">
        <v>0.40061862917467972</v>
      </c>
      <c r="C10" s="8">
        <v>0.42647233553206609</v>
      </c>
      <c r="D10" s="8">
        <v>0.15396294681398981</v>
      </c>
      <c r="E10" s="8">
        <v>1.8946088479264479E-2</v>
      </c>
      <c r="F10" s="11">
        <f t="shared" si="0"/>
        <v>0.79123649459783918</v>
      </c>
      <c r="G10" s="12">
        <f t="shared" si="1"/>
        <v>0.59938137082532028</v>
      </c>
      <c r="H10" s="5">
        <f t="shared" si="2"/>
        <v>1</v>
      </c>
    </row>
    <row r="11" spans="1:8" x14ac:dyDescent="0.25">
      <c r="A11" s="7">
        <v>6</v>
      </c>
      <c r="B11" s="8">
        <v>0.19138381014168729</v>
      </c>
      <c r="C11" s="8">
        <v>0.4176552403888561</v>
      </c>
      <c r="D11" s="8">
        <v>0.31109184221348612</v>
      </c>
      <c r="E11" s="8">
        <v>7.9869107255970517E-2</v>
      </c>
      <c r="F11" s="11">
        <f t="shared" si="0"/>
        <v>1.27944624658374</v>
      </c>
      <c r="G11" s="12">
        <f t="shared" si="1"/>
        <v>0.80861618985831274</v>
      </c>
      <c r="H11" s="5">
        <f t="shared" si="2"/>
        <v>1</v>
      </c>
    </row>
    <row r="12" spans="1:8" x14ac:dyDescent="0.25">
      <c r="A12" s="7">
        <v>7</v>
      </c>
      <c r="B12" s="8">
        <v>8.2762861170241134E-2</v>
      </c>
      <c r="C12" s="8">
        <v>0.31513987396248622</v>
      </c>
      <c r="D12" s="8">
        <v>0.41269753661365183</v>
      </c>
      <c r="E12" s="8">
        <v>0.189399728253621</v>
      </c>
      <c r="F12" s="11">
        <f t="shared" si="0"/>
        <v>1.7087341319506528</v>
      </c>
      <c r="G12" s="12">
        <f t="shared" si="1"/>
        <v>0.91723713882975888</v>
      </c>
      <c r="H12" s="5">
        <f t="shared" si="2"/>
        <v>1.0000000000000002</v>
      </c>
    </row>
    <row r="13" spans="1:8" x14ac:dyDescent="0.25">
      <c r="A13" s="7">
        <v>8</v>
      </c>
      <c r="B13" s="8">
        <v>3.3613213270000039E-2</v>
      </c>
      <c r="C13" s="8">
        <v>0.20492166555674901</v>
      </c>
      <c r="D13" s="8">
        <v>0.43302927808341263</v>
      </c>
      <c r="E13" s="8">
        <v>0.32843584308983831</v>
      </c>
      <c r="F13" s="11">
        <f t="shared" si="0"/>
        <v>2.0562877509930892</v>
      </c>
      <c r="G13" s="12">
        <f t="shared" si="1"/>
        <v>0.96638678673</v>
      </c>
      <c r="H13" s="5">
        <f t="shared" si="2"/>
        <v>1</v>
      </c>
    </row>
    <row r="14" spans="1:8" x14ac:dyDescent="0.25">
      <c r="A14" s="7">
        <v>9</v>
      </c>
      <c r="B14" s="8">
        <v>1.312277668042224E-2</v>
      </c>
      <c r="C14" s="8">
        <v>0.12162819658984619</v>
      </c>
      <c r="D14" s="8">
        <v>0.39329191170313083</v>
      </c>
      <c r="E14" s="8">
        <v>0.4719571150266007</v>
      </c>
      <c r="F14" s="11">
        <f t="shared" si="0"/>
        <v>2.3240833650759098</v>
      </c>
      <c r="G14" s="12">
        <f t="shared" si="1"/>
        <v>0.98687722331957772</v>
      </c>
      <c r="H14" s="5">
        <f t="shared" si="2"/>
        <v>1</v>
      </c>
    </row>
    <row r="15" spans="1:8" x14ac:dyDescent="0.25">
      <c r="A15" s="7">
        <v>10</v>
      </c>
      <c r="B15" s="8">
        <v>4.9993912472894404E-3</v>
      </c>
      <c r="C15" s="8">
        <v>6.8114495034700351E-2</v>
      </c>
      <c r="D15" s="8">
        <v>0.32496281221140999</v>
      </c>
      <c r="E15" s="8">
        <v>0.60192330150660034</v>
      </c>
      <c r="F15" s="11">
        <f t="shared" si="0"/>
        <v>2.5238100239773216</v>
      </c>
      <c r="G15" s="12">
        <f t="shared" si="1"/>
        <v>0.99500060875271057</v>
      </c>
      <c r="H15" s="5">
        <f t="shared" si="2"/>
        <v>1</v>
      </c>
    </row>
    <row r="16" spans="1:8" x14ac:dyDescent="0.25">
      <c r="A16" s="7">
        <v>11</v>
      </c>
      <c r="B16" s="8">
        <v>1.878143895562128E-3</v>
      </c>
      <c r="C16" s="8">
        <v>3.6728262477109051E-2</v>
      </c>
      <c r="D16" s="8">
        <v>0.25157741379872411</v>
      </c>
      <c r="E16" s="8">
        <v>0.70981617982860457</v>
      </c>
      <c r="F16" s="11">
        <f t="shared" si="0"/>
        <v>2.6693316295603711</v>
      </c>
      <c r="G16" s="12">
        <f t="shared" si="1"/>
        <v>0.99812185610443782</v>
      </c>
      <c r="H16" s="5">
        <f t="shared" si="2"/>
        <v>0.99999999999999989</v>
      </c>
    </row>
    <row r="17" spans="1:8" x14ac:dyDescent="0.25">
      <c r="A17" s="7">
        <v>12</v>
      </c>
      <c r="B17" s="8">
        <v>7.0144908588143926E-4</v>
      </c>
      <c r="C17" s="8">
        <v>1.931050338568319E-2</v>
      </c>
      <c r="D17" s="8">
        <v>0.18582695318569031</v>
      </c>
      <c r="E17" s="8">
        <v>0.79416109434274507</v>
      </c>
      <c r="F17" s="11">
        <f t="shared" si="0"/>
        <v>2.7734476927852989</v>
      </c>
      <c r="G17" s="12">
        <f t="shared" si="1"/>
        <v>0.99929855091411857</v>
      </c>
      <c r="H17" s="5">
        <f t="shared" si="2"/>
        <v>1</v>
      </c>
    </row>
    <row r="18" spans="1:8" x14ac:dyDescent="0.25">
      <c r="A18" s="7">
        <v>13</v>
      </c>
      <c r="B18" s="8">
        <v>2.6218957283259111E-4</v>
      </c>
      <c r="C18" s="8">
        <v>9.9760507247878619E-3</v>
      </c>
      <c r="D18" s="8">
        <v>0.1324578924396268</v>
      </c>
      <c r="E18" s="8">
        <v>0.85730386726275276</v>
      </c>
      <c r="F18" s="11">
        <f t="shared" si="0"/>
        <v>2.8468034373922997</v>
      </c>
      <c r="G18" s="12">
        <f t="shared" si="1"/>
        <v>0.99973781042716736</v>
      </c>
      <c r="H18" s="5">
        <f t="shared" si="2"/>
        <v>1</v>
      </c>
    </row>
    <row r="19" spans="1:8" x14ac:dyDescent="0.25">
      <c r="A19" s="7">
        <v>14</v>
      </c>
      <c r="B19" s="8">
        <v>9.8570624306929815E-5</v>
      </c>
      <c r="C19" s="8">
        <v>5.0861221189150933E-3</v>
      </c>
      <c r="D19" s="8">
        <v>9.1761356902488864E-2</v>
      </c>
      <c r="E19" s="8">
        <v>0.90305395035428915</v>
      </c>
      <c r="F19" s="11">
        <f t="shared" si="0"/>
        <v>2.8977706869867599</v>
      </c>
      <c r="G19" s="12">
        <f t="shared" si="1"/>
        <v>0.99990142937569304</v>
      </c>
      <c r="H19" s="5">
        <f t="shared" si="2"/>
        <v>1</v>
      </c>
    </row>
    <row r="20" spans="1:8" x14ac:dyDescent="0.25">
      <c r="A20" s="7">
        <v>15</v>
      </c>
      <c r="B20" s="8">
        <v>3.7376669397971301E-5</v>
      </c>
      <c r="C20" s="8">
        <v>2.5644989929792948E-3</v>
      </c>
      <c r="D20" s="8">
        <v>6.2048618112869047E-2</v>
      </c>
      <c r="E20" s="8">
        <v>0.93534950622475366</v>
      </c>
      <c r="F20" s="11">
        <f t="shared" si="0"/>
        <v>2.9327102538929783</v>
      </c>
      <c r="G20" s="12">
        <f t="shared" si="1"/>
        <v>0.99996262333060204</v>
      </c>
      <c r="H20" s="5">
        <f t="shared" si="2"/>
        <v>1</v>
      </c>
    </row>
    <row r="21" spans="1:8" x14ac:dyDescent="0.25">
      <c r="A21" s="7">
        <v>16</v>
      </c>
      <c r="B21" s="8">
        <v>1.430072586924495E-5</v>
      </c>
      <c r="C21" s="8">
        <v>1.279864264148066E-3</v>
      </c>
      <c r="D21" s="8">
        <v>4.1055675674205372E-2</v>
      </c>
      <c r="E21" s="8">
        <v>0.95765015933577724</v>
      </c>
      <c r="F21" s="11">
        <f t="shared" si="0"/>
        <v>2.9563416936198905</v>
      </c>
      <c r="G21" s="12">
        <f t="shared" si="1"/>
        <v>0.99998569927413072</v>
      </c>
      <c r="H21" s="5">
        <f t="shared" si="2"/>
        <v>0.99999999999999989</v>
      </c>
    </row>
    <row r="22" spans="1:8" x14ac:dyDescent="0.25">
      <c r="A22" s="7">
        <v>17</v>
      </c>
      <c r="B22" s="8">
        <v>5.5121688416231972E-6</v>
      </c>
      <c r="C22" s="8">
        <v>6.3239856129057256E-4</v>
      </c>
      <c r="D22" s="8">
        <v>2.6614804849815699E-2</v>
      </c>
      <c r="E22" s="8">
        <v>0.97274728442005209</v>
      </c>
      <c r="F22" s="11">
        <f t="shared" si="0"/>
        <v>2.9721038615210782</v>
      </c>
      <c r="G22" s="12">
        <f t="shared" si="1"/>
        <v>0.99999448783115841</v>
      </c>
      <c r="H22" s="5">
        <f t="shared" si="2"/>
        <v>1</v>
      </c>
    </row>
    <row r="24" spans="1:8" x14ac:dyDescent="0.25">
      <c r="A24" s="10" t="s">
        <v>24</v>
      </c>
    </row>
    <row r="25" spans="1:8" x14ac:dyDescent="0.25">
      <c r="A25" s="3" t="s">
        <v>2</v>
      </c>
      <c r="B25" s="3" t="s">
        <v>19</v>
      </c>
      <c r="C25" s="3" t="s">
        <v>20</v>
      </c>
      <c r="D25" s="3" t="s">
        <v>21</v>
      </c>
      <c r="E25" s="3" t="s">
        <v>3</v>
      </c>
      <c r="F25" s="3" t="s">
        <v>22</v>
      </c>
      <c r="G25" s="3" t="s">
        <v>23</v>
      </c>
      <c r="H25" s="3" t="s">
        <v>15</v>
      </c>
    </row>
    <row r="26" spans="1:8" x14ac:dyDescent="0.25">
      <c r="A26" s="7">
        <v>1</v>
      </c>
      <c r="B26" s="8">
        <v>1</v>
      </c>
      <c r="C26" s="8">
        <v>0</v>
      </c>
      <c r="D26" s="8">
        <v>0</v>
      </c>
      <c r="E26" s="8">
        <v>0</v>
      </c>
      <c r="F26" s="11">
        <f t="shared" ref="F26:F42" si="3">1*C26+2*D26+3*E26</f>
        <v>0</v>
      </c>
      <c r="G26" s="12">
        <f t="shared" ref="G26:G42" si="4">1-B26</f>
        <v>0</v>
      </c>
      <c r="H26" s="5">
        <f t="shared" ref="H26:H42" si="5">SUM(B26:E26)</f>
        <v>1</v>
      </c>
    </row>
    <row r="27" spans="1:8" x14ac:dyDescent="0.25">
      <c r="A27" s="7">
        <v>2</v>
      </c>
      <c r="B27" s="8">
        <v>1</v>
      </c>
      <c r="C27" s="8">
        <v>0</v>
      </c>
      <c r="D27" s="8">
        <v>0</v>
      </c>
      <c r="E27" s="8">
        <v>0</v>
      </c>
      <c r="F27" s="11">
        <f t="shared" si="3"/>
        <v>0</v>
      </c>
      <c r="G27" s="12">
        <f t="shared" si="4"/>
        <v>0</v>
      </c>
      <c r="H27" s="5">
        <f t="shared" si="5"/>
        <v>1</v>
      </c>
    </row>
    <row r="28" spans="1:8" x14ac:dyDescent="0.25">
      <c r="A28" s="7">
        <v>3</v>
      </c>
      <c r="B28" s="8">
        <v>0.21922924507453309</v>
      </c>
      <c r="C28" s="8">
        <v>0.43194880024165078</v>
      </c>
      <c r="D28" s="8">
        <v>0.28547348782251109</v>
      </c>
      <c r="E28" s="8">
        <v>6.3348466861305117E-2</v>
      </c>
      <c r="F28" s="11">
        <f t="shared" si="3"/>
        <v>1.1929411764705884</v>
      </c>
      <c r="G28" s="12">
        <f t="shared" si="4"/>
        <v>0.78077075492546688</v>
      </c>
      <c r="H28" s="5">
        <f t="shared" si="5"/>
        <v>1</v>
      </c>
    </row>
    <row r="29" spans="1:8" x14ac:dyDescent="0.25">
      <c r="A29" s="7">
        <v>4</v>
      </c>
      <c r="B29" s="8">
        <v>7.2216641018007011E-2</v>
      </c>
      <c r="C29" s="8">
        <v>0.30270627307845599</v>
      </c>
      <c r="D29" s="8">
        <v>0.42504437352616181</v>
      </c>
      <c r="E29" s="8">
        <v>0.20003271237737519</v>
      </c>
      <c r="F29" s="11">
        <f t="shared" si="3"/>
        <v>1.7528931572629052</v>
      </c>
      <c r="G29" s="12">
        <f t="shared" si="4"/>
        <v>0.92778335898199304</v>
      </c>
      <c r="H29" s="5">
        <f t="shared" si="5"/>
        <v>1</v>
      </c>
    </row>
    <row r="30" spans="1:8" x14ac:dyDescent="0.25">
      <c r="A30" s="7">
        <v>5</v>
      </c>
      <c r="B30" s="8">
        <v>6.9728617592275652E-2</v>
      </c>
      <c r="C30" s="8">
        <v>0.29910729517314322</v>
      </c>
      <c r="D30" s="8">
        <v>0.42753353046632248</v>
      </c>
      <c r="E30" s="8">
        <v>0.20363055676825881</v>
      </c>
      <c r="F30" s="11">
        <f t="shared" si="3"/>
        <v>1.7650660264105646</v>
      </c>
      <c r="G30" s="12">
        <f t="shared" si="4"/>
        <v>0.93027138240772433</v>
      </c>
      <c r="H30" s="5">
        <f t="shared" si="5"/>
        <v>1.0000000000000002</v>
      </c>
    </row>
    <row r="31" spans="1:8" x14ac:dyDescent="0.25">
      <c r="A31" s="7">
        <v>6</v>
      </c>
      <c r="B31" s="8">
        <v>0.1209867369513279</v>
      </c>
      <c r="C31" s="8">
        <v>0.36946892803396642</v>
      </c>
      <c r="D31" s="8">
        <v>0.37908326177977691</v>
      </c>
      <c r="E31" s="8">
        <v>0.13046107323492881</v>
      </c>
      <c r="F31" s="11">
        <f t="shared" si="3"/>
        <v>1.5190186712983067</v>
      </c>
      <c r="G31" s="12">
        <f t="shared" si="4"/>
        <v>0.87901326304867211</v>
      </c>
      <c r="H31" s="5">
        <f t="shared" si="5"/>
        <v>1</v>
      </c>
    </row>
    <row r="32" spans="1:8" x14ac:dyDescent="0.25">
      <c r="A32" s="7">
        <v>7</v>
      </c>
      <c r="B32" s="8">
        <v>0.2175552390161572</v>
      </c>
      <c r="C32" s="8">
        <v>0.42787967263457433</v>
      </c>
      <c r="D32" s="8">
        <v>0.28850471792009952</v>
      </c>
      <c r="E32" s="8">
        <v>6.6060370429169069E-2</v>
      </c>
      <c r="F32" s="11">
        <f t="shared" si="3"/>
        <v>1.2030702197622805</v>
      </c>
      <c r="G32" s="12">
        <f t="shared" si="4"/>
        <v>0.78244476098384275</v>
      </c>
      <c r="H32" s="5">
        <f t="shared" si="5"/>
        <v>1.0000000000000002</v>
      </c>
    </row>
    <row r="33" spans="1:8" x14ac:dyDescent="0.25">
      <c r="A33" s="7">
        <v>8</v>
      </c>
      <c r="B33" s="8">
        <v>0.34467043591009572</v>
      </c>
      <c r="C33" s="8">
        <v>0.43361399674625939</v>
      </c>
      <c r="D33" s="8">
        <v>0.192375543419954</v>
      </c>
      <c r="E33" s="8">
        <v>2.934002392369086E-2</v>
      </c>
      <c r="F33" s="11">
        <f t="shared" si="3"/>
        <v>0.90638515535723996</v>
      </c>
      <c r="G33" s="12">
        <f t="shared" si="4"/>
        <v>0.65532956408990428</v>
      </c>
      <c r="H33" s="5">
        <f t="shared" si="5"/>
        <v>1</v>
      </c>
    </row>
    <row r="34" spans="1:8" x14ac:dyDescent="0.25">
      <c r="A34" s="7">
        <v>9</v>
      </c>
      <c r="B34" s="8">
        <v>0.48013880894904359</v>
      </c>
      <c r="C34" s="8">
        <v>0.39115929811185057</v>
      </c>
      <c r="D34" s="8">
        <v>0.1166306436398856</v>
      </c>
      <c r="E34" s="8">
        <v>1.207124929922021E-2</v>
      </c>
      <c r="F34" s="11">
        <f t="shared" si="3"/>
        <v>0.66063433328928245</v>
      </c>
      <c r="G34" s="12">
        <f t="shared" si="4"/>
        <v>0.51986119105095641</v>
      </c>
      <c r="H34" s="5">
        <f t="shared" si="5"/>
        <v>1</v>
      </c>
    </row>
    <row r="35" spans="1:8" x14ac:dyDescent="0.25">
      <c r="A35" s="7">
        <v>10</v>
      </c>
      <c r="B35" s="8">
        <v>0.60563927417767582</v>
      </c>
      <c r="C35" s="8">
        <v>0.32332046720566032</v>
      </c>
      <c r="D35" s="8">
        <v>6.6294517325797622E-2</v>
      </c>
      <c r="E35" s="8">
        <v>4.7457412908664346E-3</v>
      </c>
      <c r="F35" s="11">
        <f t="shared" si="3"/>
        <v>0.47014672572985483</v>
      </c>
      <c r="G35" s="12">
        <f t="shared" si="4"/>
        <v>0.39436072582232418</v>
      </c>
      <c r="H35" s="5">
        <f t="shared" si="5"/>
        <v>1.0000000000000002</v>
      </c>
    </row>
    <row r="36" spans="1:8" x14ac:dyDescent="0.25">
      <c r="A36" s="7">
        <v>11</v>
      </c>
      <c r="B36" s="8">
        <v>0.71136818604623109</v>
      </c>
      <c r="C36" s="8">
        <v>0.25071491373888721</v>
      </c>
      <c r="D36" s="8">
        <v>3.6099568827991257E-2</v>
      </c>
      <c r="E36" s="8">
        <v>1.817331386890541E-3</v>
      </c>
      <c r="F36" s="11">
        <f t="shared" si="3"/>
        <v>0.32836604555554133</v>
      </c>
      <c r="G36" s="12">
        <f t="shared" si="4"/>
        <v>0.28863181395376891</v>
      </c>
      <c r="H36" s="5">
        <f t="shared" si="5"/>
        <v>1</v>
      </c>
    </row>
    <row r="37" spans="1:8" x14ac:dyDescent="0.25">
      <c r="A37" s="7">
        <v>12</v>
      </c>
      <c r="B37" s="8">
        <v>0.79476437360356944</v>
      </c>
      <c r="C37" s="8">
        <v>0.1854480588618112</v>
      </c>
      <c r="D37" s="8">
        <v>1.910077805951289E-2</v>
      </c>
      <c r="E37" s="8">
        <v>6.8678947510630601E-4</v>
      </c>
      <c r="F37" s="11">
        <f t="shared" si="3"/>
        <v>0.22570998340615592</v>
      </c>
      <c r="G37" s="12">
        <f t="shared" si="4"/>
        <v>0.20523562639643056</v>
      </c>
      <c r="H37" s="5">
        <f t="shared" si="5"/>
        <v>0.99999999999999989</v>
      </c>
    </row>
    <row r="38" spans="1:8" x14ac:dyDescent="0.25">
      <c r="A38" s="7">
        <v>13</v>
      </c>
      <c r="B38" s="8">
        <v>0.85752344273756598</v>
      </c>
      <c r="C38" s="8">
        <v>0.13230996951971491</v>
      </c>
      <c r="D38" s="8">
        <v>9.9079839644911159E-3</v>
      </c>
      <c r="E38" s="8">
        <v>2.5860377822811481E-4</v>
      </c>
      <c r="F38" s="11">
        <f t="shared" si="3"/>
        <v>0.1529017487833815</v>
      </c>
      <c r="G38" s="12">
        <f t="shared" si="4"/>
        <v>0.14247655726243402</v>
      </c>
      <c r="H38" s="5">
        <f t="shared" si="5"/>
        <v>1.0000000000000002</v>
      </c>
    </row>
    <row r="39" spans="1:8" x14ac:dyDescent="0.25">
      <c r="A39" s="7">
        <v>14</v>
      </c>
      <c r="B39" s="8">
        <v>0.90312890725625394</v>
      </c>
      <c r="C39" s="8">
        <v>9.1708820226803212E-2</v>
      </c>
      <c r="D39" s="8">
        <v>5.0645960517629492E-3</v>
      </c>
      <c r="E39" s="8">
        <v>9.7676465179866162E-5</v>
      </c>
      <c r="F39" s="11">
        <f t="shared" si="3"/>
        <v>0.1021310417258687</v>
      </c>
      <c r="G39" s="12">
        <f t="shared" si="4"/>
        <v>9.6871092743746057E-2</v>
      </c>
      <c r="H39" s="5">
        <f t="shared" si="5"/>
        <v>0.99999999999999989</v>
      </c>
    </row>
    <row r="40" spans="1:8" x14ac:dyDescent="0.25">
      <c r="A40" s="7">
        <v>15</v>
      </c>
      <c r="B40" s="8">
        <v>0.93537346151194722</v>
      </c>
      <c r="C40" s="8">
        <v>6.2031513498322227E-2</v>
      </c>
      <c r="D40" s="8">
        <v>2.5578753986097002E-3</v>
      </c>
      <c r="E40" s="8">
        <v>3.7149591120920489E-5</v>
      </c>
      <c r="F40" s="11">
        <f t="shared" si="3"/>
        <v>6.7258713068904394E-2</v>
      </c>
      <c r="G40" s="12">
        <f t="shared" si="4"/>
        <v>6.4626538488052776E-2</v>
      </c>
      <c r="H40" s="5">
        <f t="shared" si="5"/>
        <v>1.0000000000000002</v>
      </c>
    </row>
    <row r="41" spans="1:8" x14ac:dyDescent="0.25">
      <c r="A41" s="7">
        <v>16</v>
      </c>
      <c r="B41" s="8">
        <v>0.95765729132905975</v>
      </c>
      <c r="C41" s="8">
        <v>4.1050579329379069E-2</v>
      </c>
      <c r="D41" s="8">
        <v>1.277887012312846E-3</v>
      </c>
      <c r="E41" s="8">
        <v>1.4242329248437189E-5</v>
      </c>
      <c r="F41" s="11">
        <f t="shared" si="3"/>
        <v>4.3649080341750073E-2</v>
      </c>
      <c r="G41" s="12">
        <f t="shared" si="4"/>
        <v>4.2342708670940254E-2</v>
      </c>
      <c r="H41" s="5">
        <f t="shared" si="5"/>
        <v>1</v>
      </c>
    </row>
    <row r="42" spans="1:8" x14ac:dyDescent="0.25">
      <c r="A42" s="7">
        <v>17</v>
      </c>
      <c r="B42" s="8">
        <v>0.97274924657291262</v>
      </c>
      <c r="C42" s="8">
        <v>2.6613428243953009E-2</v>
      </c>
      <c r="D42" s="8">
        <v>6.3182810286728465E-4</v>
      </c>
      <c r="E42" s="8">
        <v>5.4970802670050161E-6</v>
      </c>
      <c r="F42" s="11">
        <f t="shared" si="3"/>
        <v>2.7893575690488594E-2</v>
      </c>
      <c r="G42" s="12">
        <f t="shared" si="4"/>
        <v>2.7250753427087382E-2</v>
      </c>
      <c r="H42" s="5">
        <f t="shared" si="5"/>
        <v>0.99999999999999989</v>
      </c>
    </row>
    <row r="44" spans="1:8" x14ac:dyDescent="0.25">
      <c r="A44" s="10" t="s">
        <v>25</v>
      </c>
    </row>
    <row r="45" spans="1:8" x14ac:dyDescent="0.25">
      <c r="A45" s="3" t="s">
        <v>2</v>
      </c>
      <c r="B45" s="3" t="s">
        <v>19</v>
      </c>
      <c r="C45" s="3" t="s">
        <v>20</v>
      </c>
      <c r="D45" s="3" t="s">
        <v>21</v>
      </c>
      <c r="E45" s="3" t="s">
        <v>3</v>
      </c>
      <c r="F45" s="3" t="s">
        <v>22</v>
      </c>
      <c r="G45" s="3" t="s">
        <v>23</v>
      </c>
      <c r="H45" s="3" t="s">
        <v>15</v>
      </c>
    </row>
    <row r="46" spans="1:8" x14ac:dyDescent="0.25">
      <c r="A46" s="7">
        <v>1</v>
      </c>
      <c r="B46" s="8">
        <v>1</v>
      </c>
      <c r="C46" s="8">
        <v>0</v>
      </c>
      <c r="D46" s="8">
        <v>0</v>
      </c>
      <c r="E46" s="8">
        <v>0</v>
      </c>
      <c r="F46" s="11">
        <f t="shared" ref="F46:F62" si="6">1*C46+2*D46+3*E46</f>
        <v>0</v>
      </c>
      <c r="G46" s="12">
        <f t="shared" ref="G46:G62" si="7">1-B46</f>
        <v>0</v>
      </c>
      <c r="H46" s="5">
        <f t="shared" ref="H46:H62" si="8">SUM(B46:E46)</f>
        <v>1</v>
      </c>
    </row>
    <row r="47" spans="1:8" x14ac:dyDescent="0.25">
      <c r="A47" s="7">
        <v>2</v>
      </c>
      <c r="B47" s="8">
        <v>1.3127634032336339E-2</v>
      </c>
      <c r="C47" s="8">
        <v>0.12714771014788889</v>
      </c>
      <c r="D47" s="8">
        <v>0.41220403054838961</v>
      </c>
      <c r="E47" s="8">
        <v>0.44752062527138509</v>
      </c>
      <c r="F47" s="11">
        <f t="shared" si="6"/>
        <v>2.2941176470588234</v>
      </c>
      <c r="G47" s="12">
        <f t="shared" si="7"/>
        <v>0.9868723659676637</v>
      </c>
      <c r="H47" s="5">
        <f t="shared" si="8"/>
        <v>1</v>
      </c>
    </row>
    <row r="48" spans="1:8" x14ac:dyDescent="0.25">
      <c r="A48" s="7">
        <v>3</v>
      </c>
      <c r="B48" s="8">
        <v>9.0930686428132776E-2</v>
      </c>
      <c r="C48" s="8">
        <v>0.33347597984614752</v>
      </c>
      <c r="D48" s="8">
        <v>0.40849127514095368</v>
      </c>
      <c r="E48" s="8">
        <v>0.16710205858476601</v>
      </c>
      <c r="F48" s="11">
        <f t="shared" si="6"/>
        <v>1.6517647058823528</v>
      </c>
      <c r="G48" s="12">
        <f t="shared" si="7"/>
        <v>0.90906931357186727</v>
      </c>
      <c r="H48" s="5">
        <f t="shared" si="8"/>
        <v>1</v>
      </c>
    </row>
    <row r="49" spans="1:8" x14ac:dyDescent="0.25">
      <c r="A49" s="7">
        <v>4</v>
      </c>
      <c r="B49" s="8">
        <v>0.34485047701943072</v>
      </c>
      <c r="C49" s="8">
        <v>0.4388054469380499</v>
      </c>
      <c r="D49" s="8">
        <v>0.1889181072384773</v>
      </c>
      <c r="E49" s="8">
        <v>2.7425968804042109E-2</v>
      </c>
      <c r="F49" s="11">
        <f t="shared" si="6"/>
        <v>0.89891956782713078</v>
      </c>
      <c r="G49" s="12">
        <f t="shared" si="7"/>
        <v>0.65514952298056928</v>
      </c>
      <c r="H49" s="5">
        <f t="shared" si="8"/>
        <v>1</v>
      </c>
    </row>
    <row r="50" spans="1:8" x14ac:dyDescent="0.25">
      <c r="A50" s="7">
        <v>5</v>
      </c>
      <c r="B50" s="8">
        <v>0.62462599828040233</v>
      </c>
      <c r="C50" s="8">
        <v>0.31634578264173241</v>
      </c>
      <c r="D50" s="8">
        <v>5.5675337834511257E-2</v>
      </c>
      <c r="E50" s="8">
        <v>3.3528812433537602E-3</v>
      </c>
      <c r="F50" s="11">
        <f t="shared" si="6"/>
        <v>0.43775510204081619</v>
      </c>
      <c r="G50" s="12">
        <f t="shared" si="7"/>
        <v>0.37537400171959767</v>
      </c>
      <c r="H50" s="5">
        <f t="shared" si="8"/>
        <v>0.99999999999999978</v>
      </c>
    </row>
    <row r="51" spans="1:8" x14ac:dyDescent="0.25">
      <c r="A51" s="7">
        <v>6</v>
      </c>
      <c r="B51" s="8">
        <v>0.81360106272621557</v>
      </c>
      <c r="C51" s="8">
        <v>0.17263611172220439</v>
      </c>
      <c r="D51" s="8">
        <v>1.3400974676145001E-2</v>
      </c>
      <c r="E51" s="8">
        <v>3.6185087543503722E-4</v>
      </c>
      <c r="F51" s="11">
        <f t="shared" si="6"/>
        <v>0.20052361370079949</v>
      </c>
      <c r="G51" s="12">
        <f t="shared" si="7"/>
        <v>0.18639893727378443</v>
      </c>
      <c r="H51" s="5">
        <f t="shared" si="8"/>
        <v>1</v>
      </c>
    </row>
    <row r="52" spans="1:8" x14ac:dyDescent="0.25">
      <c r="A52" s="7">
        <v>7</v>
      </c>
      <c r="B52" s="8">
        <v>0.91498001357387337</v>
      </c>
      <c r="C52" s="8">
        <v>8.2035305302156664E-2</v>
      </c>
      <c r="D52" s="8">
        <v>2.9476194939582088E-3</v>
      </c>
      <c r="E52" s="8">
        <v>3.7061630011870001E-5</v>
      </c>
      <c r="F52" s="11">
        <f t="shared" si="6"/>
        <v>8.8041729180108691E-2</v>
      </c>
      <c r="G52" s="12">
        <f t="shared" si="7"/>
        <v>8.5019986426126626E-2</v>
      </c>
      <c r="H52" s="5">
        <f t="shared" si="8"/>
        <v>1</v>
      </c>
    </row>
    <row r="53" spans="1:8" x14ac:dyDescent="0.25">
      <c r="A53" s="7">
        <v>8</v>
      </c>
      <c r="B53" s="8">
        <v>0.96332839949202298</v>
      </c>
      <c r="C53" s="8">
        <v>3.604034081306224E-2</v>
      </c>
      <c r="D53" s="8">
        <v>6.2754879573044477E-4</v>
      </c>
      <c r="E53" s="8">
        <v>3.7108991844107982E-6</v>
      </c>
      <c r="F53" s="11">
        <f t="shared" si="6"/>
        <v>3.7306571102076365E-2</v>
      </c>
      <c r="G53" s="12">
        <f t="shared" si="7"/>
        <v>3.667160050797702E-2</v>
      </c>
      <c r="H53" s="5">
        <f t="shared" si="8"/>
        <v>1.0000000000000002</v>
      </c>
    </row>
    <row r="54" spans="1:8" x14ac:dyDescent="0.25">
      <c r="A54" s="7">
        <v>9</v>
      </c>
      <c r="B54" s="8">
        <v>0.98485463609618162</v>
      </c>
      <c r="C54" s="8">
        <v>1.5011123714653541E-2</v>
      </c>
      <c r="D54" s="8">
        <v>1.3387475502212601E-4</v>
      </c>
      <c r="E54" s="8">
        <v>3.654341428387262E-7</v>
      </c>
      <c r="F54" s="11">
        <f t="shared" si="6"/>
        <v>1.527996952712631E-2</v>
      </c>
      <c r="G54" s="12">
        <f t="shared" si="7"/>
        <v>1.5145363903818376E-2</v>
      </c>
      <c r="H54" s="5">
        <f t="shared" si="8"/>
        <v>1.0000000000000002</v>
      </c>
    </row>
    <row r="55" spans="1:8" x14ac:dyDescent="0.25">
      <c r="A55" s="7">
        <v>10</v>
      </c>
      <c r="B55" s="8">
        <v>0.99398632800038866</v>
      </c>
      <c r="C55" s="8">
        <v>5.9843458830674268E-3</v>
      </c>
      <c r="D55" s="8">
        <v>2.929088012430549E-5</v>
      </c>
      <c r="E55" s="8">
        <v>3.5236419563299088E-8</v>
      </c>
      <c r="F55" s="11">
        <f t="shared" si="6"/>
        <v>6.0430333525747278E-3</v>
      </c>
      <c r="G55" s="12">
        <f t="shared" si="7"/>
        <v>6.0136719996113364E-3</v>
      </c>
      <c r="H55" s="5">
        <f t="shared" si="8"/>
        <v>0.99999999999999989</v>
      </c>
    </row>
    <row r="56" spans="1:8" x14ac:dyDescent="0.25">
      <c r="A56" s="7">
        <v>11</v>
      </c>
      <c r="B56" s="8">
        <v>0.99770436459762812</v>
      </c>
      <c r="C56" s="8">
        <v>2.2889647317367689E-3</v>
      </c>
      <c r="D56" s="8">
        <v>6.6673552868499829E-6</v>
      </c>
      <c r="E56" s="8">
        <v>3.3153482781788299E-9</v>
      </c>
      <c r="F56" s="11">
        <f t="shared" si="6"/>
        <v>2.3023093883553034E-3</v>
      </c>
      <c r="G56" s="12">
        <f t="shared" si="7"/>
        <v>2.2956354023718761E-3</v>
      </c>
      <c r="H56" s="5">
        <f t="shared" si="8"/>
        <v>1</v>
      </c>
    </row>
    <row r="57" spans="1:8" x14ac:dyDescent="0.25">
      <c r="A57" s="7">
        <v>12</v>
      </c>
      <c r="B57" s="8">
        <v>0.99915926303934843</v>
      </c>
      <c r="C57" s="8">
        <v>8.3915117388174158E-4</v>
      </c>
      <c r="D57" s="8">
        <v>1.585481535391111E-6</v>
      </c>
      <c r="E57" s="8">
        <v>3.0523437398819458E-10</v>
      </c>
      <c r="F57" s="11">
        <f t="shared" si="6"/>
        <v>8.4232305265564576E-4</v>
      </c>
      <c r="G57" s="12">
        <f t="shared" si="7"/>
        <v>8.4073696065156689E-4</v>
      </c>
      <c r="H57" s="5">
        <f t="shared" si="8"/>
        <v>1</v>
      </c>
    </row>
    <row r="58" spans="1:8" x14ac:dyDescent="0.25">
      <c r="A58" s="7">
        <v>13</v>
      </c>
      <c r="B58" s="8">
        <v>0.99970557797272674</v>
      </c>
      <c r="C58" s="8">
        <v>2.9403027673375009E-4</v>
      </c>
      <c r="D58" s="8">
        <v>3.9172293068227551E-7</v>
      </c>
      <c r="E58" s="8">
        <v>2.760883265400037E-11</v>
      </c>
      <c r="F58" s="11">
        <f t="shared" si="6"/>
        <v>2.9481380542161259E-4</v>
      </c>
      <c r="G58" s="12">
        <f t="shared" si="7"/>
        <v>2.9442202727325562E-4</v>
      </c>
      <c r="H58" s="5">
        <f t="shared" si="8"/>
        <v>1</v>
      </c>
    </row>
    <row r="59" spans="1:8" x14ac:dyDescent="0.25">
      <c r="A59" s="7">
        <v>14</v>
      </c>
      <c r="B59" s="8">
        <v>0.99990182820762563</v>
      </c>
      <c r="C59" s="8">
        <v>9.8072299815980872E-5</v>
      </c>
      <c r="D59" s="8">
        <v>9.9490120417683088E-8</v>
      </c>
      <c r="E59" s="8">
        <v>2.438096315459841E-12</v>
      </c>
      <c r="F59" s="11">
        <f t="shared" si="6"/>
        <v>9.8271287371105178E-5</v>
      </c>
      <c r="G59" s="12">
        <f t="shared" si="7"/>
        <v>9.8171792374368572E-5</v>
      </c>
      <c r="H59" s="5">
        <f t="shared" si="8"/>
        <v>1</v>
      </c>
    </row>
    <row r="60" spans="1:8" x14ac:dyDescent="0.25">
      <c r="A60" s="7">
        <v>15</v>
      </c>
      <c r="B60" s="8">
        <v>0.99996899267083905</v>
      </c>
      <c r="C60" s="8">
        <v>3.0981620412837959E-5</v>
      </c>
      <c r="D60" s="8">
        <v>2.5708540277897651E-8</v>
      </c>
      <c r="E60" s="8">
        <v>2.0793244330457321E-13</v>
      </c>
      <c r="F60" s="11">
        <f t="shared" si="6"/>
        <v>3.1033038117191091E-5</v>
      </c>
      <c r="G60" s="12">
        <f t="shared" si="7"/>
        <v>3.1007329160948061E-5</v>
      </c>
      <c r="H60" s="5">
        <f t="shared" si="8"/>
        <v>1</v>
      </c>
    </row>
    <row r="61" spans="1:8" x14ac:dyDescent="0.25">
      <c r="A61" s="7">
        <v>16</v>
      </c>
      <c r="B61" s="8">
        <v>0.99999078067390013</v>
      </c>
      <c r="C61" s="8">
        <v>9.2126138576411873E-6</v>
      </c>
      <c r="D61" s="8">
        <v>6.7122250357829471E-9</v>
      </c>
      <c r="E61" s="8">
        <v>1.7150725132151408E-14</v>
      </c>
      <c r="F61" s="11">
        <f t="shared" si="6"/>
        <v>9.2260383591649294E-6</v>
      </c>
      <c r="G61" s="12">
        <f t="shared" si="7"/>
        <v>9.2193260998740811E-6</v>
      </c>
      <c r="H61" s="5">
        <f t="shared" si="8"/>
        <v>0.99999999999999989</v>
      </c>
    </row>
    <row r="62" spans="1:8" x14ac:dyDescent="0.25">
      <c r="A62" s="7">
        <v>17</v>
      </c>
      <c r="B62" s="8">
        <v>0.99999743897656057</v>
      </c>
      <c r="C62" s="8">
        <v>2.5592584472537181E-6</v>
      </c>
      <c r="D62" s="8">
        <v>1.7649908481748721E-9</v>
      </c>
      <c r="E62" s="8">
        <v>1.3837654636044361E-15</v>
      </c>
      <c r="F62" s="11">
        <f t="shared" si="6"/>
        <v>2.5627884331013641E-6</v>
      </c>
      <c r="G62" s="12">
        <f t="shared" si="7"/>
        <v>2.5610234394290998E-6</v>
      </c>
      <c r="H62" s="5">
        <f t="shared" si="8"/>
        <v>1</v>
      </c>
    </row>
    <row r="64" spans="1:8" x14ac:dyDescent="0.25">
      <c r="A64" s="10" t="s">
        <v>26</v>
      </c>
    </row>
    <row r="65" spans="1:8" x14ac:dyDescent="0.25">
      <c r="A65" s="3" t="s">
        <v>2</v>
      </c>
      <c r="B65" s="3" t="s">
        <v>19</v>
      </c>
      <c r="C65" s="3" t="s">
        <v>20</v>
      </c>
      <c r="D65" s="3" t="s">
        <v>21</v>
      </c>
      <c r="E65" s="3" t="s">
        <v>3</v>
      </c>
      <c r="F65" s="3" t="s">
        <v>22</v>
      </c>
      <c r="G65" s="3" t="s">
        <v>23</v>
      </c>
      <c r="H65" s="3" t="s">
        <v>15</v>
      </c>
    </row>
    <row r="66" spans="1:8" x14ac:dyDescent="0.25">
      <c r="A66" s="7">
        <v>1</v>
      </c>
      <c r="B66" s="8">
        <v>0</v>
      </c>
      <c r="C66" s="8">
        <v>0</v>
      </c>
      <c r="D66" s="8">
        <v>0</v>
      </c>
      <c r="E66" s="8">
        <v>1</v>
      </c>
      <c r="F66" s="11">
        <f t="shared" ref="F66:F82" si="9">1*C66+2*D66+3*E66</f>
        <v>3</v>
      </c>
      <c r="G66" s="12">
        <f t="shared" ref="G66:G82" si="10">1-B66</f>
        <v>1</v>
      </c>
      <c r="H66" s="5">
        <f t="shared" ref="H66:H82" si="11">SUM(B66:E66)</f>
        <v>1</v>
      </c>
    </row>
    <row r="67" spans="1:8" x14ac:dyDescent="0.25">
      <c r="A67" s="7">
        <v>2</v>
      </c>
      <c r="B67" s="8">
        <v>0.44752062527138509</v>
      </c>
      <c r="C67" s="8">
        <v>0.41220403054838961</v>
      </c>
      <c r="D67" s="8">
        <v>0.12714771014788889</v>
      </c>
      <c r="E67" s="8">
        <v>1.3127634032336339E-2</v>
      </c>
      <c r="F67" s="11">
        <f t="shared" si="9"/>
        <v>0.70588235294117641</v>
      </c>
      <c r="G67" s="12">
        <f t="shared" si="10"/>
        <v>0.55247937472861497</v>
      </c>
      <c r="H67" s="5">
        <f t="shared" si="11"/>
        <v>0.99999999999999978</v>
      </c>
    </row>
    <row r="68" spans="1:8" x14ac:dyDescent="0.25">
      <c r="A68" s="7">
        <v>3</v>
      </c>
      <c r="B68" s="8">
        <v>0.85280056592479725</v>
      </c>
      <c r="C68" s="8">
        <v>0.1392535345312963</v>
      </c>
      <c r="D68" s="8">
        <v>7.7971155159566137E-3</v>
      </c>
      <c r="E68" s="8">
        <v>1.4878402794975531E-4</v>
      </c>
      <c r="F68" s="11">
        <f t="shared" si="9"/>
        <v>0.1552941176470588</v>
      </c>
      <c r="G68" s="12">
        <f t="shared" si="10"/>
        <v>0.14719943407520275</v>
      </c>
      <c r="H68" s="5">
        <f t="shared" si="11"/>
        <v>0.99999999999999989</v>
      </c>
    </row>
    <row r="69" spans="1:8" x14ac:dyDescent="0.25">
      <c r="A69" s="7">
        <v>4</v>
      </c>
      <c r="B69" s="8">
        <v>0.96867566612899803</v>
      </c>
      <c r="C69" s="8">
        <v>3.0957541960134592E-2</v>
      </c>
      <c r="D69" s="8">
        <v>3.6524062190840088E-4</v>
      </c>
      <c r="E69" s="8">
        <v>1.551288958979143E-6</v>
      </c>
      <c r="F69" s="11">
        <f t="shared" si="9"/>
        <v>3.1692677070828332E-2</v>
      </c>
      <c r="G69" s="12">
        <f t="shared" si="10"/>
        <v>3.1324333871001975E-2</v>
      </c>
      <c r="H69" s="5">
        <f t="shared" si="11"/>
        <v>0.99999999999999989</v>
      </c>
    </row>
    <row r="70" spans="1:8" x14ac:dyDescent="0.25">
      <c r="A70" s="7">
        <v>5</v>
      </c>
      <c r="B70" s="8">
        <v>0.9940727811740605</v>
      </c>
      <c r="C70" s="8">
        <v>5.9120767719176596E-3</v>
      </c>
      <c r="D70" s="8">
        <v>1.5125983202847859E-5</v>
      </c>
      <c r="E70" s="8">
        <v>1.6070818985901878E-8</v>
      </c>
      <c r="F70" s="11">
        <f t="shared" si="9"/>
        <v>5.9423769507803122E-3</v>
      </c>
      <c r="G70" s="12">
        <f t="shared" si="10"/>
        <v>5.9272188259394953E-3</v>
      </c>
      <c r="H70" s="5">
        <f t="shared" si="11"/>
        <v>1</v>
      </c>
    </row>
    <row r="71" spans="1:8" x14ac:dyDescent="0.25">
      <c r="A71" s="7">
        <v>6</v>
      </c>
      <c r="B71" s="8">
        <v>0.9989890880746789</v>
      </c>
      <c r="C71" s="8">
        <v>1.0103556001841919E-3</v>
      </c>
      <c r="D71" s="8">
        <v>5.5615844042606803E-7</v>
      </c>
      <c r="E71" s="8">
        <v>1.6669635074269779E-10</v>
      </c>
      <c r="F71" s="11">
        <f t="shared" si="9"/>
        <v>1.0114684171540964E-3</v>
      </c>
      <c r="G71" s="12">
        <f t="shared" si="10"/>
        <v>1.0109119253211007E-3</v>
      </c>
      <c r="H71" s="5">
        <f t="shared" si="11"/>
        <v>0.99999999999999978</v>
      </c>
    </row>
    <row r="72" spans="1:8" x14ac:dyDescent="0.25">
      <c r="A72" s="7">
        <v>7</v>
      </c>
      <c r="B72" s="8">
        <v>0.99984609835250338</v>
      </c>
      <c r="C72" s="8">
        <v>1.538841896177244E-4</v>
      </c>
      <c r="D72" s="8">
        <v>1.7456296042648879E-8</v>
      </c>
      <c r="E72" s="8">
        <v>1.5828074222791979E-12</v>
      </c>
      <c r="F72" s="11">
        <f t="shared" si="9"/>
        <v>1.5391910695823199E-4</v>
      </c>
      <c r="G72" s="12">
        <f t="shared" si="10"/>
        <v>1.5390164749662372E-4</v>
      </c>
      <c r="H72" s="5">
        <f t="shared" si="11"/>
        <v>1</v>
      </c>
    </row>
    <row r="73" spans="1:8" x14ac:dyDescent="0.25">
      <c r="A73" s="7">
        <v>8</v>
      </c>
      <c r="B73" s="8">
        <v>0.99997947789947506</v>
      </c>
      <c r="C73" s="8">
        <v>2.0521653468021389E-5</v>
      </c>
      <c r="D73" s="8">
        <v>4.470441899520412E-10</v>
      </c>
      <c r="E73" s="8">
        <v>1.2676544427597579E-14</v>
      </c>
      <c r="F73" s="11">
        <f t="shared" si="9"/>
        <v>2.0522547594430928E-5</v>
      </c>
      <c r="G73" s="12">
        <f t="shared" si="10"/>
        <v>2.052210052494452E-5</v>
      </c>
      <c r="H73" s="5">
        <f t="shared" si="11"/>
        <v>0.99999999999999989</v>
      </c>
    </row>
    <row r="74" spans="1:8" x14ac:dyDescent="0.25">
      <c r="A74" s="7">
        <v>9</v>
      </c>
      <c r="B74" s="8">
        <v>0.99999766790118949</v>
      </c>
      <c r="C74" s="8">
        <v>2.3320899400692581E-6</v>
      </c>
      <c r="D74" s="8">
        <v>8.8704371150852664E-12</v>
      </c>
      <c r="E74" s="8">
        <v>8.0614980334233656E-17</v>
      </c>
      <c r="F74" s="11">
        <f t="shared" si="9"/>
        <v>2.3321076811853332E-6</v>
      </c>
      <c r="G74" s="12">
        <f t="shared" si="10"/>
        <v>2.3320988105091089E-6</v>
      </c>
      <c r="H74" s="5">
        <f t="shared" si="11"/>
        <v>1</v>
      </c>
    </row>
    <row r="75" spans="1:8" x14ac:dyDescent="0.25">
      <c r="A75" s="7">
        <v>10</v>
      </c>
      <c r="B75" s="8">
        <v>0.99999978305987713</v>
      </c>
      <c r="C75" s="8">
        <v>2.1693999641751921E-7</v>
      </c>
      <c r="D75" s="8">
        <v>1.2649697408692259E-13</v>
      </c>
      <c r="E75" s="8">
        <v>3.7386657546311229E-19</v>
      </c>
      <c r="F75" s="11">
        <f t="shared" si="9"/>
        <v>2.1694024941258899E-7</v>
      </c>
      <c r="G75" s="12">
        <f t="shared" si="10"/>
        <v>2.1694012286577191E-7</v>
      </c>
      <c r="H75" s="5">
        <f t="shared" si="11"/>
        <v>1</v>
      </c>
    </row>
    <row r="76" spans="1:8" x14ac:dyDescent="0.25">
      <c r="A76" s="7">
        <v>11</v>
      </c>
      <c r="B76" s="8">
        <v>0.99999998450426908</v>
      </c>
      <c r="C76" s="8">
        <v>1.549572980557416E-8</v>
      </c>
      <c r="D76" s="8">
        <v>1.147660897174656E-15</v>
      </c>
      <c r="E76" s="8">
        <v>1.0924672659636411E-21</v>
      </c>
      <c r="F76" s="11">
        <f t="shared" si="9"/>
        <v>1.5495732100899232E-8</v>
      </c>
      <c r="G76" s="12">
        <f t="shared" si="10"/>
        <v>1.5495730920633832E-8</v>
      </c>
      <c r="H76" s="5">
        <f t="shared" si="11"/>
        <v>1</v>
      </c>
    </row>
    <row r="77" spans="1:8" x14ac:dyDescent="0.25">
      <c r="A77" s="7">
        <v>12</v>
      </c>
      <c r="B77" s="8">
        <v>0.99999999924411065</v>
      </c>
      <c r="C77" s="8">
        <v>7.5588936022234295E-10</v>
      </c>
      <c r="D77" s="8">
        <v>5.2766123849355907E-18</v>
      </c>
      <c r="E77" s="8">
        <v>1.503222932182513E-24</v>
      </c>
      <c r="F77" s="11">
        <f t="shared" si="9"/>
        <v>7.5588937077557224E-10</v>
      </c>
      <c r="G77" s="12">
        <f t="shared" si="10"/>
        <v>7.5588935111170485E-10</v>
      </c>
      <c r="H77" s="5">
        <f t="shared" si="11"/>
        <v>1</v>
      </c>
    </row>
    <row r="78" spans="1:8" x14ac:dyDescent="0.25">
      <c r="A78" s="7">
        <v>13</v>
      </c>
      <c r="B78" s="8">
        <v>0.99999999998110267</v>
      </c>
      <c r="C78" s="8">
        <v>1.889723425543E-11</v>
      </c>
      <c r="D78" s="8">
        <v>6.979650634826596E-21</v>
      </c>
      <c r="E78" s="8">
        <v>4.4738777743527159E-28</v>
      </c>
      <c r="F78" s="11">
        <f t="shared" si="9"/>
        <v>1.88972342693893E-11</v>
      </c>
      <c r="G78" s="12">
        <f t="shared" si="10"/>
        <v>1.8897328146749715E-11</v>
      </c>
      <c r="H78" s="5">
        <f t="shared" si="11"/>
        <v>0.99999999999999989</v>
      </c>
    </row>
    <row r="79" spans="1:8" x14ac:dyDescent="0.25">
      <c r="A79" s="7">
        <v>14</v>
      </c>
      <c r="B79" s="8">
        <v>1</v>
      </c>
      <c r="C79" s="8">
        <v>0</v>
      </c>
      <c r="D79" s="8">
        <v>0</v>
      </c>
      <c r="E79" s="8">
        <v>0</v>
      </c>
      <c r="F79" s="11">
        <f t="shared" si="9"/>
        <v>0</v>
      </c>
      <c r="G79" s="12">
        <f t="shared" si="10"/>
        <v>0</v>
      </c>
      <c r="H79" s="5">
        <f t="shared" si="11"/>
        <v>1</v>
      </c>
    </row>
    <row r="80" spans="1:8" x14ac:dyDescent="0.25">
      <c r="A80" s="7">
        <v>15</v>
      </c>
      <c r="B80" s="8">
        <v>1</v>
      </c>
      <c r="C80" s="8">
        <v>0</v>
      </c>
      <c r="D80" s="8">
        <v>0</v>
      </c>
      <c r="E80" s="8">
        <v>0</v>
      </c>
      <c r="F80" s="11">
        <f t="shared" si="9"/>
        <v>0</v>
      </c>
      <c r="G80" s="12">
        <f t="shared" si="10"/>
        <v>0</v>
      </c>
      <c r="H80" s="5">
        <f t="shared" si="11"/>
        <v>1</v>
      </c>
    </row>
    <row r="81" spans="1:8" x14ac:dyDescent="0.25">
      <c r="A81" s="7">
        <v>16</v>
      </c>
      <c r="B81" s="8">
        <v>1</v>
      </c>
      <c r="C81" s="8">
        <v>0</v>
      </c>
      <c r="D81" s="8">
        <v>0</v>
      </c>
      <c r="E81" s="8">
        <v>0</v>
      </c>
      <c r="F81" s="11">
        <f t="shared" si="9"/>
        <v>0</v>
      </c>
      <c r="G81" s="12">
        <f t="shared" si="10"/>
        <v>0</v>
      </c>
      <c r="H81" s="5">
        <f t="shared" si="11"/>
        <v>1</v>
      </c>
    </row>
    <row r="82" spans="1:8" x14ac:dyDescent="0.25">
      <c r="A82" s="7">
        <v>17</v>
      </c>
      <c r="B82" s="8">
        <v>1</v>
      </c>
      <c r="C82" s="8">
        <v>0</v>
      </c>
      <c r="D82" s="8">
        <v>0</v>
      </c>
      <c r="E82" s="8">
        <v>0</v>
      </c>
      <c r="F82" s="11">
        <f t="shared" si="9"/>
        <v>0</v>
      </c>
      <c r="G82" s="12">
        <f t="shared" si="10"/>
        <v>0</v>
      </c>
      <c r="H82" s="5">
        <f t="shared" si="11"/>
        <v>1</v>
      </c>
    </row>
    <row r="84" spans="1:8" x14ac:dyDescent="0.25">
      <c r="A84" s="10" t="s">
        <v>27</v>
      </c>
      <c r="D84" s="2" t="s">
        <v>28</v>
      </c>
    </row>
    <row r="85" spans="1:8" x14ac:dyDescent="0.25">
      <c r="A85" s="3" t="s">
        <v>2</v>
      </c>
      <c r="B85" s="3" t="s">
        <v>19</v>
      </c>
      <c r="C85" s="3" t="s">
        <v>20</v>
      </c>
      <c r="D85" s="3" t="s">
        <v>21</v>
      </c>
      <c r="E85" s="3" t="s">
        <v>3</v>
      </c>
      <c r="F85" s="3" t="s">
        <v>22</v>
      </c>
      <c r="G85" s="3" t="s">
        <v>23</v>
      </c>
      <c r="H85" s="3" t="s">
        <v>15</v>
      </c>
    </row>
    <row r="86" spans="1:8" x14ac:dyDescent="0.25">
      <c r="A86" s="7">
        <v>1</v>
      </c>
      <c r="B86" s="8">
        <v>0</v>
      </c>
      <c r="C86" s="8">
        <v>0</v>
      </c>
      <c r="D86" s="8">
        <v>0</v>
      </c>
      <c r="E86" s="8">
        <v>1</v>
      </c>
      <c r="F86" s="11">
        <f t="shared" ref="F86:F102" si="12">1*C86+2*D86+3*E86</f>
        <v>3</v>
      </c>
      <c r="G86" s="12">
        <f t="shared" ref="G86:G102" si="13">1-B86</f>
        <v>1</v>
      </c>
      <c r="H86" s="5">
        <f t="shared" ref="H86:H102" si="14">SUM(B86:E86)</f>
        <v>1</v>
      </c>
    </row>
    <row r="87" spans="1:8" x14ac:dyDescent="0.25">
      <c r="A87" s="7">
        <v>2</v>
      </c>
      <c r="B87" s="8">
        <v>0</v>
      </c>
      <c r="C87" s="8">
        <v>0</v>
      </c>
      <c r="D87" s="8">
        <v>0</v>
      </c>
      <c r="E87" s="8">
        <v>1</v>
      </c>
      <c r="F87" s="11">
        <f t="shared" si="12"/>
        <v>3</v>
      </c>
      <c r="G87" s="12">
        <f t="shared" si="13"/>
        <v>1</v>
      </c>
      <c r="H87" s="5">
        <f t="shared" si="14"/>
        <v>1</v>
      </c>
    </row>
    <row r="88" spans="1:8" x14ac:dyDescent="0.25">
      <c r="A88" s="7">
        <v>3</v>
      </c>
      <c r="B88" s="8">
        <v>0</v>
      </c>
      <c r="C88" s="8">
        <v>0</v>
      </c>
      <c r="D88" s="8">
        <v>0</v>
      </c>
      <c r="E88" s="8">
        <v>1</v>
      </c>
      <c r="F88" s="11">
        <f t="shared" si="12"/>
        <v>3</v>
      </c>
      <c r="G88" s="12">
        <f t="shared" si="13"/>
        <v>1</v>
      </c>
      <c r="H88" s="5">
        <f t="shared" si="14"/>
        <v>1</v>
      </c>
    </row>
    <row r="89" spans="1:8" x14ac:dyDescent="0.25">
      <c r="A89" s="7">
        <v>4</v>
      </c>
      <c r="B89" s="8">
        <v>1.212549662672927E-3</v>
      </c>
      <c r="C89" s="8">
        <v>3.0090544972266538E-2</v>
      </c>
      <c r="D89" s="8">
        <v>0.25267585890658378</v>
      </c>
      <c r="E89" s="8">
        <v>0.71602104645847675</v>
      </c>
      <c r="F89" s="11">
        <f t="shared" si="12"/>
        <v>2.6835054021608644</v>
      </c>
      <c r="G89" s="12">
        <f t="shared" si="13"/>
        <v>0.99878745033732708</v>
      </c>
      <c r="H89" s="5">
        <f t="shared" si="14"/>
        <v>1</v>
      </c>
    </row>
    <row r="90" spans="1:8" x14ac:dyDescent="0.25">
      <c r="A90" s="7">
        <v>5</v>
      </c>
      <c r="B90" s="8">
        <v>1.8946088479264479E-2</v>
      </c>
      <c r="C90" s="8">
        <v>0.15396294681398981</v>
      </c>
      <c r="D90" s="8">
        <v>0.42647233553206609</v>
      </c>
      <c r="E90" s="8">
        <v>0.40061862917467972</v>
      </c>
      <c r="F90" s="11">
        <f t="shared" si="12"/>
        <v>2.2087635054021613</v>
      </c>
      <c r="G90" s="12">
        <f t="shared" si="13"/>
        <v>0.98105391152073551</v>
      </c>
      <c r="H90" s="5">
        <f t="shared" si="14"/>
        <v>1</v>
      </c>
    </row>
    <row r="91" spans="1:8" x14ac:dyDescent="0.25">
      <c r="A91" s="7">
        <v>6</v>
      </c>
      <c r="B91" s="8">
        <v>7.9869107255970517E-2</v>
      </c>
      <c r="C91" s="8">
        <v>0.31109184221348612</v>
      </c>
      <c r="D91" s="8">
        <v>0.4176552403888561</v>
      </c>
      <c r="E91" s="8">
        <v>0.19138381014168729</v>
      </c>
      <c r="F91" s="11">
        <f t="shared" si="12"/>
        <v>1.7205537534162603</v>
      </c>
      <c r="G91" s="12">
        <f t="shared" si="13"/>
        <v>0.92013089274402948</v>
      </c>
      <c r="H91" s="5">
        <f t="shared" si="14"/>
        <v>1</v>
      </c>
    </row>
    <row r="92" spans="1:8" x14ac:dyDescent="0.25">
      <c r="A92" s="7">
        <v>7</v>
      </c>
      <c r="B92" s="8">
        <v>0.189399728253621</v>
      </c>
      <c r="C92" s="8">
        <v>0.41269753661365183</v>
      </c>
      <c r="D92" s="8">
        <v>0.31513987396248622</v>
      </c>
      <c r="E92" s="8">
        <v>8.2762861170241134E-2</v>
      </c>
      <c r="F92" s="11">
        <f t="shared" si="12"/>
        <v>1.2912658680493476</v>
      </c>
      <c r="G92" s="12">
        <f t="shared" si="13"/>
        <v>0.81060027174637894</v>
      </c>
      <c r="H92" s="5">
        <f t="shared" si="14"/>
        <v>1.0000000000000002</v>
      </c>
    </row>
    <row r="93" spans="1:8" x14ac:dyDescent="0.25">
      <c r="A93" s="7">
        <v>8</v>
      </c>
      <c r="B93" s="8">
        <v>0.32843584308983831</v>
      </c>
      <c r="C93" s="8">
        <v>0.43302927808341263</v>
      </c>
      <c r="D93" s="8">
        <v>0.20492166555674901</v>
      </c>
      <c r="E93" s="8">
        <v>3.3613213270000039E-2</v>
      </c>
      <c r="F93" s="11">
        <f t="shared" si="12"/>
        <v>0.94371224900691075</v>
      </c>
      <c r="G93" s="12">
        <f t="shared" si="13"/>
        <v>0.67156415691016169</v>
      </c>
      <c r="H93" s="5">
        <f t="shared" si="14"/>
        <v>1</v>
      </c>
    </row>
    <row r="94" spans="1:8" x14ac:dyDescent="0.25">
      <c r="A94" s="7">
        <v>9</v>
      </c>
      <c r="B94" s="8">
        <v>0.47195711502660082</v>
      </c>
      <c r="C94" s="8">
        <v>0.39329191170313088</v>
      </c>
      <c r="D94" s="8">
        <v>0.12162819658984619</v>
      </c>
      <c r="E94" s="8">
        <v>1.312277668042224E-2</v>
      </c>
      <c r="F94" s="11">
        <f t="shared" si="12"/>
        <v>0.67591663492409004</v>
      </c>
      <c r="G94" s="12">
        <f t="shared" si="13"/>
        <v>0.52804288497339913</v>
      </c>
      <c r="H94" s="5">
        <f t="shared" si="14"/>
        <v>1.0000000000000002</v>
      </c>
    </row>
    <row r="95" spans="1:8" x14ac:dyDescent="0.25">
      <c r="A95" s="7">
        <v>10</v>
      </c>
      <c r="B95" s="8">
        <v>0.60192330150660034</v>
      </c>
      <c r="C95" s="8">
        <v>0.32496281221140999</v>
      </c>
      <c r="D95" s="8">
        <v>6.8114495034700351E-2</v>
      </c>
      <c r="E95" s="8">
        <v>4.9993912472894404E-3</v>
      </c>
      <c r="F95" s="11">
        <f t="shared" si="12"/>
        <v>0.47618997602267898</v>
      </c>
      <c r="G95" s="12">
        <f t="shared" si="13"/>
        <v>0.39807669849339966</v>
      </c>
      <c r="H95" s="5">
        <f t="shared" si="14"/>
        <v>1.0000000000000002</v>
      </c>
    </row>
    <row r="96" spans="1:8" x14ac:dyDescent="0.25">
      <c r="A96" s="7">
        <v>11</v>
      </c>
      <c r="B96" s="8">
        <v>0.70981617982860457</v>
      </c>
      <c r="C96" s="8">
        <v>0.25157741379872411</v>
      </c>
      <c r="D96" s="8">
        <v>3.6728262477109051E-2</v>
      </c>
      <c r="E96" s="8">
        <v>1.878143895562128E-3</v>
      </c>
      <c r="F96" s="11">
        <f t="shared" si="12"/>
        <v>0.3306683704396286</v>
      </c>
      <c r="G96" s="12">
        <f t="shared" si="13"/>
        <v>0.29018382017139543</v>
      </c>
      <c r="H96" s="5">
        <f t="shared" si="14"/>
        <v>0.99999999999999989</v>
      </c>
    </row>
    <row r="97" spans="1:8" x14ac:dyDescent="0.25">
      <c r="A97" s="7">
        <v>12</v>
      </c>
      <c r="B97" s="8">
        <v>0.79416109434274507</v>
      </c>
      <c r="C97" s="8">
        <v>0.18582695318569031</v>
      </c>
      <c r="D97" s="8">
        <v>1.931050338568319E-2</v>
      </c>
      <c r="E97" s="8">
        <v>7.0144908588143926E-4</v>
      </c>
      <c r="F97" s="11">
        <f t="shared" si="12"/>
        <v>0.22655230721470102</v>
      </c>
      <c r="G97" s="12">
        <f t="shared" si="13"/>
        <v>0.20583890565725493</v>
      </c>
      <c r="H97" s="5">
        <f t="shared" si="14"/>
        <v>1</v>
      </c>
    </row>
    <row r="98" spans="1:8" x14ac:dyDescent="0.25">
      <c r="A98" s="7">
        <v>13</v>
      </c>
      <c r="B98" s="8">
        <v>0.85730386726275265</v>
      </c>
      <c r="C98" s="8">
        <v>0.13245789243962669</v>
      </c>
      <c r="D98" s="8">
        <v>9.9760507247878601E-3</v>
      </c>
      <c r="E98" s="8">
        <v>2.6218957283259111E-4</v>
      </c>
      <c r="F98" s="11">
        <f t="shared" si="12"/>
        <v>0.15319656260770018</v>
      </c>
      <c r="G98" s="12">
        <f t="shared" si="13"/>
        <v>0.14269613273724735</v>
      </c>
      <c r="H98" s="5">
        <f t="shared" si="14"/>
        <v>0.99999999999999989</v>
      </c>
    </row>
    <row r="99" spans="1:8" x14ac:dyDescent="0.25">
      <c r="A99" s="7">
        <v>14</v>
      </c>
      <c r="B99" s="8">
        <v>0.90305395035428915</v>
      </c>
      <c r="C99" s="8">
        <v>9.1761356902488864E-2</v>
      </c>
      <c r="D99" s="8">
        <v>5.0861221189150933E-3</v>
      </c>
      <c r="E99" s="8">
        <v>9.8570624306929815E-5</v>
      </c>
      <c r="F99" s="11">
        <f t="shared" si="12"/>
        <v>0.10222931301323984</v>
      </c>
      <c r="G99" s="12">
        <f t="shared" si="13"/>
        <v>9.6946049645710852E-2</v>
      </c>
      <c r="H99" s="5">
        <f t="shared" si="14"/>
        <v>1</v>
      </c>
    </row>
    <row r="100" spans="1:8" x14ac:dyDescent="0.25">
      <c r="A100" s="7">
        <v>15</v>
      </c>
      <c r="B100" s="8">
        <v>0.93534950622475377</v>
      </c>
      <c r="C100" s="8">
        <v>6.2048618112869047E-2</v>
      </c>
      <c r="D100" s="8">
        <v>2.5644989929792948E-3</v>
      </c>
      <c r="E100" s="8">
        <v>3.7376669397971301E-5</v>
      </c>
      <c r="F100" s="11">
        <f t="shared" si="12"/>
        <v>6.7289746107021556E-2</v>
      </c>
      <c r="G100" s="12">
        <f t="shared" si="13"/>
        <v>6.4650493775246232E-2</v>
      </c>
      <c r="H100" s="5">
        <f t="shared" si="14"/>
        <v>1.0000000000000002</v>
      </c>
    </row>
    <row r="101" spans="1:8" x14ac:dyDescent="0.25">
      <c r="A101" s="7">
        <v>16</v>
      </c>
      <c r="B101" s="8">
        <v>0.95765015933577724</v>
      </c>
      <c r="C101" s="8">
        <v>4.1055675674205372E-2</v>
      </c>
      <c r="D101" s="8">
        <v>1.279864264148066E-3</v>
      </c>
      <c r="E101" s="8">
        <v>1.430072586924495E-5</v>
      </c>
      <c r="F101" s="11">
        <f t="shared" si="12"/>
        <v>4.3658306380109237E-2</v>
      </c>
      <c r="G101" s="12">
        <f t="shared" si="13"/>
        <v>4.234984066422276E-2</v>
      </c>
      <c r="H101" s="5">
        <f t="shared" si="14"/>
        <v>1</v>
      </c>
    </row>
    <row r="102" spans="1:8" x14ac:dyDescent="0.25">
      <c r="A102" s="7">
        <v>17</v>
      </c>
      <c r="B102" s="8">
        <v>0.97274728442005221</v>
      </c>
      <c r="C102" s="8">
        <v>2.6614804849815699E-2</v>
      </c>
      <c r="D102" s="8">
        <v>6.3239856129057267E-4</v>
      </c>
      <c r="E102" s="8">
        <v>5.512168841623198E-6</v>
      </c>
      <c r="F102" s="11">
        <f t="shared" si="12"/>
        <v>2.7896138478921712E-2</v>
      </c>
      <c r="G102" s="12">
        <f t="shared" si="13"/>
        <v>2.7252715579947795E-2</v>
      </c>
      <c r="H102" s="5">
        <f t="shared" si="14"/>
        <v>1.0000000000000002</v>
      </c>
    </row>
    <row r="104" spans="1:8" x14ac:dyDescent="0.25">
      <c r="A104" s="10" t="s">
        <v>29</v>
      </c>
    </row>
    <row r="105" spans="1:8" x14ac:dyDescent="0.25">
      <c r="A105" s="3" t="s">
        <v>2</v>
      </c>
      <c r="B105" s="3" t="s">
        <v>19</v>
      </c>
      <c r="C105" s="3" t="s">
        <v>20</v>
      </c>
      <c r="D105" s="3" t="s">
        <v>21</v>
      </c>
      <c r="E105" s="3" t="s">
        <v>3</v>
      </c>
      <c r="F105" s="3" t="s">
        <v>22</v>
      </c>
      <c r="G105" s="3" t="s">
        <v>23</v>
      </c>
      <c r="H105" s="3" t="s">
        <v>15</v>
      </c>
    </row>
    <row r="106" spans="1:8" x14ac:dyDescent="0.25">
      <c r="A106" s="7">
        <v>1</v>
      </c>
      <c r="B106" s="8">
        <v>0</v>
      </c>
      <c r="C106" s="8">
        <v>0</v>
      </c>
      <c r="D106" s="8">
        <v>0</v>
      </c>
      <c r="E106" s="8">
        <v>1</v>
      </c>
      <c r="F106" s="11">
        <f t="shared" ref="F106:F122" si="15">1*C106+2*D106+3*E106</f>
        <v>3</v>
      </c>
      <c r="G106" s="12">
        <f t="shared" ref="G106:G122" si="16">1-B106</f>
        <v>1</v>
      </c>
      <c r="H106" s="5">
        <f t="shared" ref="H106:H122" si="17">SUM(B106:E106)</f>
        <v>1</v>
      </c>
    </row>
    <row r="107" spans="1:8" x14ac:dyDescent="0.25">
      <c r="A107" s="7">
        <v>2</v>
      </c>
      <c r="B107" s="8">
        <v>0</v>
      </c>
      <c r="C107" s="8">
        <v>0</v>
      </c>
      <c r="D107" s="8">
        <v>0</v>
      </c>
      <c r="E107" s="8">
        <v>1</v>
      </c>
      <c r="F107" s="11">
        <f t="shared" si="15"/>
        <v>3</v>
      </c>
      <c r="G107" s="12">
        <f t="shared" si="16"/>
        <v>1</v>
      </c>
      <c r="H107" s="5">
        <f t="shared" si="17"/>
        <v>1</v>
      </c>
    </row>
    <row r="108" spans="1:8" x14ac:dyDescent="0.25">
      <c r="A108" s="7">
        <v>3</v>
      </c>
      <c r="B108" s="8">
        <v>6.3348466861305117E-2</v>
      </c>
      <c r="C108" s="8">
        <v>0.28547348782251109</v>
      </c>
      <c r="D108" s="8">
        <v>0.43194880024165078</v>
      </c>
      <c r="E108" s="8">
        <v>0.21922924507453309</v>
      </c>
      <c r="F108" s="11">
        <f t="shared" si="15"/>
        <v>1.8070588235294118</v>
      </c>
      <c r="G108" s="12">
        <f t="shared" si="16"/>
        <v>0.93665153313869487</v>
      </c>
      <c r="H108" s="5">
        <f t="shared" si="17"/>
        <v>1</v>
      </c>
    </row>
    <row r="109" spans="1:8" x14ac:dyDescent="0.25">
      <c r="A109" s="7">
        <v>4</v>
      </c>
      <c r="B109" s="8">
        <v>0.32993085289305962</v>
      </c>
      <c r="C109" s="8">
        <v>0.44008827950253249</v>
      </c>
      <c r="D109" s="8">
        <v>0.1994186374177972</v>
      </c>
      <c r="E109" s="8">
        <v>3.0562230186610782E-2</v>
      </c>
      <c r="F109" s="11">
        <f t="shared" si="15"/>
        <v>0.93061224489795924</v>
      </c>
      <c r="G109" s="12">
        <f t="shared" si="16"/>
        <v>0.67006914710694043</v>
      </c>
      <c r="H109" s="5">
        <f t="shared" si="17"/>
        <v>1</v>
      </c>
    </row>
    <row r="110" spans="1:8" x14ac:dyDescent="0.25">
      <c r="A110" s="7">
        <v>5</v>
      </c>
      <c r="B110" s="8">
        <v>0.62045303487342884</v>
      </c>
      <c r="C110" s="8">
        <v>0.31890599584797119</v>
      </c>
      <c r="D110" s="8">
        <v>5.7131424692174387E-2</v>
      </c>
      <c r="E110" s="8">
        <v>3.5095445864255568E-3</v>
      </c>
      <c r="F110" s="11">
        <f t="shared" si="15"/>
        <v>0.44369747899159662</v>
      </c>
      <c r="G110" s="12">
        <f t="shared" si="16"/>
        <v>0.37954696512657116</v>
      </c>
      <c r="H110" s="5">
        <f t="shared" si="17"/>
        <v>1</v>
      </c>
    </row>
    <row r="111" spans="1:8" x14ac:dyDescent="0.25">
      <c r="A111" s="7">
        <v>6</v>
      </c>
      <c r="B111" s="8">
        <v>0.81275383380614463</v>
      </c>
      <c r="C111" s="8">
        <v>0.17332635836847179</v>
      </c>
      <c r="D111" s="8">
        <v>1.3550699726669139E-2</v>
      </c>
      <c r="E111" s="8">
        <v>3.6910809871450293E-4</v>
      </c>
      <c r="F111" s="11">
        <f t="shared" si="15"/>
        <v>0.2015350821179536</v>
      </c>
      <c r="G111" s="12">
        <f t="shared" si="16"/>
        <v>0.18724616619385537</v>
      </c>
      <c r="H111" s="5">
        <f t="shared" si="17"/>
        <v>1</v>
      </c>
    </row>
    <row r="112" spans="1:8" x14ac:dyDescent="0.25">
      <c r="A112" s="7">
        <v>7</v>
      </c>
      <c r="B112" s="8">
        <v>0.9148400876723457</v>
      </c>
      <c r="C112" s="8">
        <v>8.2161569727877623E-2</v>
      </c>
      <c r="D112" s="8">
        <v>2.9609492401409801E-3</v>
      </c>
      <c r="E112" s="8">
        <v>3.7393359635781258E-5</v>
      </c>
      <c r="F112" s="11">
        <f t="shared" si="15"/>
        <v>8.8195648287066927E-2</v>
      </c>
      <c r="G112" s="12">
        <f t="shared" si="16"/>
        <v>8.5159912327654297E-2</v>
      </c>
      <c r="H112" s="5">
        <f t="shared" si="17"/>
        <v>1</v>
      </c>
    </row>
    <row r="113" spans="1:8" x14ac:dyDescent="0.25">
      <c r="A113" s="7">
        <v>8</v>
      </c>
      <c r="B113" s="8">
        <v>0.96330897507238655</v>
      </c>
      <c r="C113" s="8">
        <v>3.6058682559240059E-2</v>
      </c>
      <c r="D113" s="8">
        <v>6.2861601468967604E-4</v>
      </c>
      <c r="E113" s="8">
        <v>3.726353683794665E-6</v>
      </c>
      <c r="F113" s="11">
        <f t="shared" si="15"/>
        <v>3.7327093649670795E-2</v>
      </c>
      <c r="G113" s="12">
        <f t="shared" si="16"/>
        <v>3.6691024927613447E-2</v>
      </c>
      <c r="H113" s="5">
        <f t="shared" si="17"/>
        <v>1</v>
      </c>
    </row>
    <row r="114" spans="1:8" x14ac:dyDescent="0.25">
      <c r="A114" s="7">
        <v>9</v>
      </c>
      <c r="B114" s="8">
        <v>0.98485238134376663</v>
      </c>
      <c r="C114" s="8">
        <v>1.501330184512264E-2</v>
      </c>
      <c r="D114" s="8">
        <v>1.33950643647316E-4</v>
      </c>
      <c r="E114" s="8">
        <v>3.6616746340376871E-7</v>
      </c>
      <c r="F114" s="11">
        <f t="shared" si="15"/>
        <v>1.5282301634807482E-2</v>
      </c>
      <c r="G114" s="12">
        <f t="shared" si="16"/>
        <v>1.5147618656233375E-2</v>
      </c>
      <c r="H114" s="5">
        <f t="shared" si="17"/>
        <v>0.99999999999999989</v>
      </c>
    </row>
    <row r="115" spans="1:8" x14ac:dyDescent="0.25">
      <c r="A115" s="7">
        <v>10</v>
      </c>
      <c r="B115" s="8">
        <v>0.99398611573101037</v>
      </c>
      <c r="C115" s="8">
        <v>5.9845535159266843E-3</v>
      </c>
      <c r="D115" s="8">
        <v>2.9295482291293101E-5</v>
      </c>
      <c r="E115" s="8">
        <v>3.5270771623149277E-8</v>
      </c>
      <c r="F115" s="11">
        <f t="shared" si="15"/>
        <v>6.0432502928241399E-3</v>
      </c>
      <c r="G115" s="12">
        <f t="shared" si="16"/>
        <v>6.0138842689896332E-3</v>
      </c>
      <c r="H115" s="5">
        <f t="shared" si="17"/>
        <v>0.99999999999999989</v>
      </c>
    </row>
    <row r="116" spans="1:8" x14ac:dyDescent="0.25">
      <c r="A116" s="7">
        <v>11</v>
      </c>
      <c r="B116" s="8">
        <v>0.99770434932778784</v>
      </c>
      <c r="C116" s="8">
        <v>2.2889797771873692E-3</v>
      </c>
      <c r="D116" s="8">
        <v>6.6675781739971804E-6</v>
      </c>
      <c r="E116" s="8">
        <v>3.316850680447139E-9</v>
      </c>
      <c r="F116" s="11">
        <f t="shared" si="15"/>
        <v>2.3023248840874045E-3</v>
      </c>
      <c r="G116" s="12">
        <f t="shared" si="16"/>
        <v>2.2956506722121572E-3</v>
      </c>
      <c r="H116" s="5">
        <f t="shared" si="17"/>
        <v>0.99999999999999989</v>
      </c>
    </row>
    <row r="117" spans="1:8" x14ac:dyDescent="0.25">
      <c r="A117" s="7">
        <v>12</v>
      </c>
      <c r="B117" s="8">
        <v>0.99915926229124341</v>
      </c>
      <c r="C117" s="8">
        <v>8.3915191425817503E-4</v>
      </c>
      <c r="D117" s="8">
        <v>1.5854892082837691E-6</v>
      </c>
      <c r="E117" s="8">
        <v>3.0529009139293232E-10</v>
      </c>
      <c r="F117" s="11">
        <f t="shared" si="15"/>
        <v>8.4232380854501671E-4</v>
      </c>
      <c r="G117" s="12">
        <f t="shared" si="16"/>
        <v>8.4073770875658926E-4</v>
      </c>
      <c r="H117" s="5">
        <f t="shared" si="17"/>
        <v>1</v>
      </c>
    </row>
    <row r="118" spans="1:8" x14ac:dyDescent="0.25">
      <c r="A118" s="7">
        <v>13</v>
      </c>
      <c r="B118" s="8">
        <v>0.99970557795397352</v>
      </c>
      <c r="C118" s="8">
        <v>2.940302953447399E-4</v>
      </c>
      <c r="D118" s="8">
        <v>3.917230717417992E-7</v>
      </c>
      <c r="E118" s="8">
        <v>2.761020785139802E-11</v>
      </c>
      <c r="F118" s="11">
        <f t="shared" si="15"/>
        <v>2.9481382431884707E-4</v>
      </c>
      <c r="G118" s="12">
        <f t="shared" si="16"/>
        <v>2.9442204602647681E-4</v>
      </c>
      <c r="H118" s="5">
        <f t="shared" si="17"/>
        <v>1.0000000000000002</v>
      </c>
    </row>
    <row r="119" spans="1:8" x14ac:dyDescent="0.25">
      <c r="A119" s="7">
        <v>14</v>
      </c>
      <c r="B119" s="8">
        <v>0.99990182820762563</v>
      </c>
      <c r="C119" s="8">
        <v>9.8072299815980872E-5</v>
      </c>
      <c r="D119" s="8">
        <v>9.9490120417683088E-8</v>
      </c>
      <c r="E119" s="8">
        <v>2.438096315459841E-12</v>
      </c>
      <c r="F119" s="11">
        <f t="shared" si="15"/>
        <v>9.8271287371105178E-5</v>
      </c>
      <c r="G119" s="12">
        <f t="shared" si="16"/>
        <v>9.8171792374368572E-5</v>
      </c>
      <c r="H119" s="5">
        <f t="shared" si="17"/>
        <v>1</v>
      </c>
    </row>
    <row r="120" spans="1:8" x14ac:dyDescent="0.25">
      <c r="A120" s="7">
        <v>15</v>
      </c>
      <c r="B120" s="8">
        <v>0.99996899267083905</v>
      </c>
      <c r="C120" s="8">
        <v>3.0981620412837959E-5</v>
      </c>
      <c r="D120" s="8">
        <v>2.5708540277897651E-8</v>
      </c>
      <c r="E120" s="8">
        <v>2.0793244330457321E-13</v>
      </c>
      <c r="F120" s="11">
        <f t="shared" si="15"/>
        <v>3.1033038117191091E-5</v>
      </c>
      <c r="G120" s="12">
        <f t="shared" si="16"/>
        <v>3.1007329160948061E-5</v>
      </c>
      <c r="H120" s="5">
        <f t="shared" si="17"/>
        <v>1</v>
      </c>
    </row>
    <row r="121" spans="1:8" x14ac:dyDescent="0.25">
      <c r="A121" s="7">
        <v>16</v>
      </c>
      <c r="B121" s="8">
        <v>0.99999078067390013</v>
      </c>
      <c r="C121" s="8">
        <v>9.2126138576411873E-6</v>
      </c>
      <c r="D121" s="8">
        <v>6.7122250357829471E-9</v>
      </c>
      <c r="E121" s="8">
        <v>1.7150725132151408E-14</v>
      </c>
      <c r="F121" s="11">
        <f t="shared" si="15"/>
        <v>9.2260383591649294E-6</v>
      </c>
      <c r="G121" s="12">
        <f t="shared" si="16"/>
        <v>9.2193260998740811E-6</v>
      </c>
      <c r="H121" s="5">
        <f t="shared" si="17"/>
        <v>0.99999999999999989</v>
      </c>
    </row>
    <row r="122" spans="1:8" x14ac:dyDescent="0.25">
      <c r="A122" s="7">
        <v>17</v>
      </c>
      <c r="B122" s="8">
        <v>0.99999743897656057</v>
      </c>
      <c r="C122" s="8">
        <v>2.5592584472537181E-6</v>
      </c>
      <c r="D122" s="8">
        <v>1.7649908481748721E-9</v>
      </c>
      <c r="E122" s="8">
        <v>1.3837654636044361E-15</v>
      </c>
      <c r="F122" s="11">
        <f t="shared" si="15"/>
        <v>2.5627884331013641E-6</v>
      </c>
      <c r="G122" s="12">
        <f t="shared" si="16"/>
        <v>2.5610234394290998E-6</v>
      </c>
      <c r="H122" s="5">
        <f t="shared" si="17"/>
        <v>1</v>
      </c>
    </row>
    <row r="124" spans="1:8" x14ac:dyDescent="0.25">
      <c r="A124" s="10" t="s">
        <v>30</v>
      </c>
      <c r="D124" s="2" t="s">
        <v>31</v>
      </c>
    </row>
    <row r="125" spans="1:8" x14ac:dyDescent="0.25">
      <c r="A125" s="3" t="s">
        <v>2</v>
      </c>
      <c r="B125" s="3" t="s">
        <v>19</v>
      </c>
      <c r="C125" s="3" t="s">
        <v>20</v>
      </c>
      <c r="D125" s="3" t="s">
        <v>21</v>
      </c>
      <c r="E125" s="3" t="s">
        <v>3</v>
      </c>
      <c r="F125" s="3" t="s">
        <v>22</v>
      </c>
      <c r="G125" s="3" t="s">
        <v>23</v>
      </c>
      <c r="H125" s="3" t="s">
        <v>15</v>
      </c>
    </row>
    <row r="126" spans="1:8" x14ac:dyDescent="0.25">
      <c r="A126" s="7">
        <v>1</v>
      </c>
      <c r="B126" s="8">
        <v>0</v>
      </c>
      <c r="C126" s="8">
        <v>0</v>
      </c>
      <c r="D126" s="8">
        <v>0</v>
      </c>
      <c r="E126" s="8">
        <v>1</v>
      </c>
      <c r="F126" s="11">
        <f t="shared" ref="F126:F142" si="18">1*C126+2*D126+3*E126</f>
        <v>3</v>
      </c>
      <c r="G126" s="12">
        <f t="shared" ref="G126:G142" si="19">1-B126</f>
        <v>1</v>
      </c>
      <c r="H126" s="5">
        <f t="shared" ref="H126:H142" si="20">SUM(B126:E126)</f>
        <v>1</v>
      </c>
    </row>
    <row r="127" spans="1:8" x14ac:dyDescent="0.25">
      <c r="A127" s="7">
        <v>2</v>
      </c>
      <c r="B127" s="8">
        <v>0.44752062527138509</v>
      </c>
      <c r="C127" s="8">
        <v>0.41220403054838961</v>
      </c>
      <c r="D127" s="8">
        <v>0.12714771014788889</v>
      </c>
      <c r="E127" s="8">
        <v>1.3127634032336339E-2</v>
      </c>
      <c r="F127" s="11">
        <f t="shared" si="18"/>
        <v>0.70588235294117641</v>
      </c>
      <c r="G127" s="12">
        <f t="shared" si="19"/>
        <v>0.55247937472861497</v>
      </c>
      <c r="H127" s="5">
        <f t="shared" si="20"/>
        <v>0.99999999999999978</v>
      </c>
    </row>
    <row r="128" spans="1:8" x14ac:dyDescent="0.25">
      <c r="A128" s="7">
        <v>3</v>
      </c>
      <c r="B128" s="8">
        <v>0.85280056592479725</v>
      </c>
      <c r="C128" s="8">
        <v>0.1392535345312963</v>
      </c>
      <c r="D128" s="8">
        <v>7.7971155159566137E-3</v>
      </c>
      <c r="E128" s="8">
        <v>1.4878402794975531E-4</v>
      </c>
      <c r="F128" s="11">
        <f t="shared" si="18"/>
        <v>0.1552941176470588</v>
      </c>
      <c r="G128" s="12">
        <f t="shared" si="19"/>
        <v>0.14719943407520275</v>
      </c>
      <c r="H128" s="5">
        <f t="shared" si="20"/>
        <v>0.99999999999999989</v>
      </c>
    </row>
    <row r="129" spans="1:8" x14ac:dyDescent="0.25">
      <c r="A129" s="7">
        <v>4</v>
      </c>
      <c r="B129" s="8">
        <v>0.96867566612899803</v>
      </c>
      <c r="C129" s="8">
        <v>3.0957541960134592E-2</v>
      </c>
      <c r="D129" s="8">
        <v>3.6524062190840088E-4</v>
      </c>
      <c r="E129" s="8">
        <v>1.551288958979143E-6</v>
      </c>
      <c r="F129" s="11">
        <f t="shared" si="18"/>
        <v>3.1692677070828332E-2</v>
      </c>
      <c r="G129" s="12">
        <f t="shared" si="19"/>
        <v>3.1324333871001975E-2</v>
      </c>
      <c r="H129" s="5">
        <f t="shared" si="20"/>
        <v>0.99999999999999989</v>
      </c>
    </row>
    <row r="130" spans="1:8" x14ac:dyDescent="0.25">
      <c r="A130" s="7">
        <v>5</v>
      </c>
      <c r="B130" s="8">
        <v>0.9940727811740605</v>
      </c>
      <c r="C130" s="8">
        <v>5.9120767719176596E-3</v>
      </c>
      <c r="D130" s="8">
        <v>1.5125983202847859E-5</v>
      </c>
      <c r="E130" s="8">
        <v>1.6070818985901878E-8</v>
      </c>
      <c r="F130" s="11">
        <f t="shared" si="18"/>
        <v>5.9423769507803122E-3</v>
      </c>
      <c r="G130" s="12">
        <f t="shared" si="19"/>
        <v>5.9272188259394953E-3</v>
      </c>
      <c r="H130" s="5">
        <f t="shared" si="20"/>
        <v>1</v>
      </c>
    </row>
    <row r="131" spans="1:8" x14ac:dyDescent="0.25">
      <c r="A131" s="7">
        <v>6</v>
      </c>
      <c r="B131" s="8">
        <v>0.9989890880746789</v>
      </c>
      <c r="C131" s="8">
        <v>1.0103556001841919E-3</v>
      </c>
      <c r="D131" s="8">
        <v>5.5615844042606803E-7</v>
      </c>
      <c r="E131" s="8">
        <v>1.6669635074269779E-10</v>
      </c>
      <c r="F131" s="11">
        <f t="shared" si="18"/>
        <v>1.0114684171540964E-3</v>
      </c>
      <c r="G131" s="12">
        <f t="shared" si="19"/>
        <v>1.0109119253211007E-3</v>
      </c>
      <c r="H131" s="5">
        <f t="shared" si="20"/>
        <v>0.99999999999999978</v>
      </c>
    </row>
    <row r="132" spans="1:8" x14ac:dyDescent="0.25">
      <c r="A132" s="7">
        <v>7</v>
      </c>
      <c r="B132" s="8">
        <v>0.99984609835250338</v>
      </c>
      <c r="C132" s="8">
        <v>1.538841896177244E-4</v>
      </c>
      <c r="D132" s="8">
        <v>1.7456296042648879E-8</v>
      </c>
      <c r="E132" s="8">
        <v>1.5828074222791979E-12</v>
      </c>
      <c r="F132" s="11">
        <f t="shared" si="18"/>
        <v>1.5391910695823199E-4</v>
      </c>
      <c r="G132" s="12">
        <f t="shared" si="19"/>
        <v>1.5390164749662372E-4</v>
      </c>
      <c r="H132" s="5">
        <f t="shared" si="20"/>
        <v>1</v>
      </c>
    </row>
    <row r="133" spans="1:8" x14ac:dyDescent="0.25">
      <c r="A133" s="7">
        <v>8</v>
      </c>
      <c r="B133" s="8">
        <v>0.99997947789947506</v>
      </c>
      <c r="C133" s="8">
        <v>2.0521653468021389E-5</v>
      </c>
      <c r="D133" s="8">
        <v>4.470441899520412E-10</v>
      </c>
      <c r="E133" s="8">
        <v>1.2676544427597579E-14</v>
      </c>
      <c r="F133" s="11">
        <f t="shared" si="18"/>
        <v>2.0522547594430928E-5</v>
      </c>
      <c r="G133" s="12">
        <f t="shared" si="19"/>
        <v>2.052210052494452E-5</v>
      </c>
      <c r="H133" s="5">
        <f t="shared" si="20"/>
        <v>0.99999999999999989</v>
      </c>
    </row>
    <row r="134" spans="1:8" x14ac:dyDescent="0.25">
      <c r="A134" s="7">
        <v>9</v>
      </c>
      <c r="B134" s="8">
        <v>0.99999766790118949</v>
      </c>
      <c r="C134" s="8">
        <v>2.3320899400692581E-6</v>
      </c>
      <c r="D134" s="8">
        <v>8.8704371150852664E-12</v>
      </c>
      <c r="E134" s="8">
        <v>8.0614980334233656E-17</v>
      </c>
      <c r="F134" s="11">
        <f t="shared" si="18"/>
        <v>2.3321076811853332E-6</v>
      </c>
      <c r="G134" s="12">
        <f t="shared" si="19"/>
        <v>2.3320988105091089E-6</v>
      </c>
      <c r="H134" s="5">
        <f t="shared" si="20"/>
        <v>1</v>
      </c>
    </row>
    <row r="135" spans="1:8" x14ac:dyDescent="0.25">
      <c r="A135" s="7">
        <v>10</v>
      </c>
      <c r="B135" s="8">
        <v>0.99999978305987713</v>
      </c>
      <c r="C135" s="8">
        <v>2.1693999641751921E-7</v>
      </c>
      <c r="D135" s="8">
        <v>1.2649697408692259E-13</v>
      </c>
      <c r="E135" s="8">
        <v>3.7386657546311229E-19</v>
      </c>
      <c r="F135" s="11">
        <f t="shared" si="18"/>
        <v>2.1694024941258899E-7</v>
      </c>
      <c r="G135" s="12">
        <f t="shared" si="19"/>
        <v>2.1694012286577191E-7</v>
      </c>
      <c r="H135" s="5">
        <f t="shared" si="20"/>
        <v>1</v>
      </c>
    </row>
    <row r="136" spans="1:8" x14ac:dyDescent="0.25">
      <c r="A136" s="7">
        <v>11</v>
      </c>
      <c r="B136" s="8">
        <v>0.99999998450426908</v>
      </c>
      <c r="C136" s="8">
        <v>1.549572980557416E-8</v>
      </c>
      <c r="D136" s="8">
        <v>1.147660897174656E-15</v>
      </c>
      <c r="E136" s="8">
        <v>1.0924672659636411E-21</v>
      </c>
      <c r="F136" s="11">
        <f t="shared" si="18"/>
        <v>1.5495732100899232E-8</v>
      </c>
      <c r="G136" s="12">
        <f t="shared" si="19"/>
        <v>1.5495730920633832E-8</v>
      </c>
      <c r="H136" s="5">
        <f t="shared" si="20"/>
        <v>1</v>
      </c>
    </row>
    <row r="137" spans="1:8" x14ac:dyDescent="0.25">
      <c r="A137" s="7">
        <v>12</v>
      </c>
      <c r="B137" s="8">
        <v>0.99999999924411065</v>
      </c>
      <c r="C137" s="8">
        <v>7.5588936022234295E-10</v>
      </c>
      <c r="D137" s="8">
        <v>5.2766123849355907E-18</v>
      </c>
      <c r="E137" s="8">
        <v>1.503222932182513E-24</v>
      </c>
      <c r="F137" s="11">
        <f t="shared" si="18"/>
        <v>7.5588937077557224E-10</v>
      </c>
      <c r="G137" s="12">
        <f t="shared" si="19"/>
        <v>7.5588935111170485E-10</v>
      </c>
      <c r="H137" s="5">
        <f t="shared" si="20"/>
        <v>1</v>
      </c>
    </row>
    <row r="138" spans="1:8" x14ac:dyDescent="0.25">
      <c r="A138" s="7">
        <v>13</v>
      </c>
      <c r="B138" s="8">
        <v>0.99999999998110267</v>
      </c>
      <c r="C138" s="8">
        <v>1.889723425543E-11</v>
      </c>
      <c r="D138" s="8">
        <v>6.979650634826596E-21</v>
      </c>
      <c r="E138" s="8">
        <v>4.4738777743527159E-28</v>
      </c>
      <c r="F138" s="11">
        <f t="shared" si="18"/>
        <v>1.88972342693893E-11</v>
      </c>
      <c r="G138" s="12">
        <f t="shared" si="19"/>
        <v>1.8897328146749715E-11</v>
      </c>
      <c r="H138" s="5">
        <f t="shared" si="20"/>
        <v>0.99999999999999989</v>
      </c>
    </row>
    <row r="139" spans="1:8" x14ac:dyDescent="0.25">
      <c r="A139" s="7">
        <v>14</v>
      </c>
      <c r="B139" s="8">
        <v>1</v>
      </c>
      <c r="C139" s="8">
        <v>0</v>
      </c>
      <c r="D139" s="8">
        <v>0</v>
      </c>
      <c r="E139" s="8">
        <v>0</v>
      </c>
      <c r="F139" s="11">
        <f t="shared" si="18"/>
        <v>0</v>
      </c>
      <c r="G139" s="12">
        <f t="shared" si="19"/>
        <v>0</v>
      </c>
      <c r="H139" s="5">
        <f t="shared" si="20"/>
        <v>1</v>
      </c>
    </row>
    <row r="140" spans="1:8" x14ac:dyDescent="0.25">
      <c r="A140" s="7">
        <v>15</v>
      </c>
      <c r="B140" s="8">
        <v>1</v>
      </c>
      <c r="C140" s="8">
        <v>0</v>
      </c>
      <c r="D140" s="8">
        <v>0</v>
      </c>
      <c r="E140" s="8">
        <v>0</v>
      </c>
      <c r="F140" s="11">
        <f t="shared" si="18"/>
        <v>0</v>
      </c>
      <c r="G140" s="12">
        <f t="shared" si="19"/>
        <v>0</v>
      </c>
      <c r="H140" s="5">
        <f t="shared" si="20"/>
        <v>1</v>
      </c>
    </row>
    <row r="141" spans="1:8" x14ac:dyDescent="0.25">
      <c r="A141" s="7">
        <v>16</v>
      </c>
      <c r="B141" s="8">
        <v>1</v>
      </c>
      <c r="C141" s="8">
        <v>0</v>
      </c>
      <c r="D141" s="8">
        <v>0</v>
      </c>
      <c r="E141" s="8">
        <v>0</v>
      </c>
      <c r="F141" s="11">
        <f t="shared" si="18"/>
        <v>0</v>
      </c>
      <c r="G141" s="12">
        <f t="shared" si="19"/>
        <v>0</v>
      </c>
      <c r="H141" s="5">
        <f t="shared" si="20"/>
        <v>1</v>
      </c>
    </row>
    <row r="142" spans="1:8" x14ac:dyDescent="0.25">
      <c r="A142" s="7">
        <v>17</v>
      </c>
      <c r="B142" s="8">
        <v>1</v>
      </c>
      <c r="C142" s="8">
        <v>0</v>
      </c>
      <c r="D142" s="8">
        <v>0</v>
      </c>
      <c r="E142" s="8">
        <v>0</v>
      </c>
      <c r="F142" s="11">
        <f t="shared" si="18"/>
        <v>0</v>
      </c>
      <c r="G142" s="12">
        <f t="shared" si="19"/>
        <v>0</v>
      </c>
      <c r="H142" s="5">
        <f t="shared" si="20"/>
        <v>1</v>
      </c>
    </row>
  </sheetData>
  <conditionalFormatting sqref="B6:E22">
    <cfRule type="colorScale" priority="1">
      <colorScale>
        <cfvo type="num" val="0"/>
        <cfvo type="num" val="1"/>
        <color rgb="FFFFFFFF"/>
        <color rgb="FF4F9A6E"/>
      </colorScale>
    </cfRule>
  </conditionalFormatting>
  <conditionalFormatting sqref="B26:E42">
    <cfRule type="colorScale" priority="2">
      <colorScale>
        <cfvo type="num" val="0"/>
        <cfvo type="num" val="1"/>
        <color rgb="FFFFFFFF"/>
        <color rgb="FF4F9A6E"/>
      </colorScale>
    </cfRule>
  </conditionalFormatting>
  <conditionalFormatting sqref="B46:E62">
    <cfRule type="colorScale" priority="3">
      <colorScale>
        <cfvo type="num" val="0"/>
        <cfvo type="num" val="1"/>
        <color rgb="FFFFFFFF"/>
        <color rgb="FF4F9A6E"/>
      </colorScale>
    </cfRule>
  </conditionalFormatting>
  <conditionalFormatting sqref="B66:E82">
    <cfRule type="colorScale" priority="4">
      <colorScale>
        <cfvo type="num" val="0"/>
        <cfvo type="num" val="1"/>
        <color rgb="FFFFFFFF"/>
        <color rgb="FF4F9A6E"/>
      </colorScale>
    </cfRule>
  </conditionalFormatting>
  <conditionalFormatting sqref="B86:E102">
    <cfRule type="colorScale" priority="5">
      <colorScale>
        <cfvo type="num" val="0"/>
        <cfvo type="num" val="1"/>
        <color rgb="FFFFFFFF"/>
        <color rgb="FF4F9A6E"/>
      </colorScale>
    </cfRule>
  </conditionalFormatting>
  <conditionalFormatting sqref="B106:E122">
    <cfRule type="colorScale" priority="6">
      <colorScale>
        <cfvo type="num" val="0"/>
        <cfvo type="num" val="1"/>
        <color rgb="FFFFFFFF"/>
        <color rgb="FF4F9A6E"/>
      </colorScale>
    </cfRule>
  </conditionalFormatting>
  <conditionalFormatting sqref="B126:E142">
    <cfRule type="colorScale" priority="7">
      <colorScale>
        <cfvo type="num" val="0"/>
        <cfvo type="num" val="1"/>
        <color rgb="FFFFFFFF"/>
        <color rgb="FF4F9A6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4"/>
  <sheetViews>
    <sheetView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5" x14ac:dyDescent="0.25"/>
  <cols>
    <col min="1" max="1" width="9" customWidth="1"/>
    <col min="2" max="6" width="11" customWidth="1"/>
    <col min="7" max="7" width="12" customWidth="1"/>
    <col min="8" max="8" width="11" customWidth="1"/>
    <col min="9" max="9" width="9" customWidth="1"/>
  </cols>
  <sheetData>
    <row r="1" spans="1:9" ht="16.5" x14ac:dyDescent="0.25">
      <c r="A1" s="1" t="s">
        <v>32</v>
      </c>
    </row>
    <row r="2" spans="1:9" x14ac:dyDescent="0.25">
      <c r="A2" s="2" t="s">
        <v>33</v>
      </c>
    </row>
    <row r="4" spans="1:9" x14ac:dyDescent="0.25">
      <c r="A4" s="10" t="s">
        <v>18</v>
      </c>
    </row>
    <row r="5" spans="1:9" x14ac:dyDescent="0.25">
      <c r="A5" s="3" t="s">
        <v>2</v>
      </c>
      <c r="B5" s="3" t="s">
        <v>19</v>
      </c>
      <c r="C5" s="3" t="s">
        <v>20</v>
      </c>
      <c r="D5" s="3" t="s">
        <v>21</v>
      </c>
      <c r="E5" s="3" t="s">
        <v>3</v>
      </c>
      <c r="F5" s="3" t="s">
        <v>4</v>
      </c>
      <c r="G5" s="3" t="s">
        <v>22</v>
      </c>
      <c r="H5" s="3" t="s">
        <v>23</v>
      </c>
      <c r="I5" s="3" t="s">
        <v>15</v>
      </c>
    </row>
    <row r="6" spans="1:9" x14ac:dyDescent="0.25">
      <c r="A6" s="7">
        <v>1</v>
      </c>
      <c r="B6" s="8">
        <v>1</v>
      </c>
      <c r="C6" s="8">
        <v>0</v>
      </c>
      <c r="D6" s="8">
        <v>0</v>
      </c>
      <c r="E6" s="8">
        <v>0</v>
      </c>
      <c r="F6" s="8">
        <v>0</v>
      </c>
      <c r="G6" s="11">
        <f t="shared" ref="G6:G18" si="0">1*C6+2*D6+3*E6+4*F6</f>
        <v>0</v>
      </c>
      <c r="H6" s="12">
        <f t="shared" ref="H6:H18" si="1">1-B6</f>
        <v>0</v>
      </c>
      <c r="I6" s="5">
        <f t="shared" ref="I6:I18" si="2">SUM(B6:F6)</f>
        <v>1</v>
      </c>
    </row>
    <row r="7" spans="1:9" x14ac:dyDescent="0.25">
      <c r="A7" s="7">
        <v>2</v>
      </c>
      <c r="B7" s="8">
        <v>1</v>
      </c>
      <c r="C7" s="8">
        <v>0</v>
      </c>
      <c r="D7" s="8">
        <v>0</v>
      </c>
      <c r="E7" s="8">
        <v>0</v>
      </c>
      <c r="F7" s="8">
        <v>0</v>
      </c>
      <c r="G7" s="11">
        <f t="shared" si="0"/>
        <v>0</v>
      </c>
      <c r="H7" s="12">
        <f t="shared" si="1"/>
        <v>0</v>
      </c>
      <c r="I7" s="5">
        <f t="shared" si="2"/>
        <v>1</v>
      </c>
    </row>
    <row r="8" spans="1:9" x14ac:dyDescent="0.25">
      <c r="A8" s="7">
        <v>3</v>
      </c>
      <c r="B8" s="8">
        <v>1</v>
      </c>
      <c r="C8" s="8">
        <v>0</v>
      </c>
      <c r="D8" s="8">
        <v>0</v>
      </c>
      <c r="E8" s="8">
        <v>0</v>
      </c>
      <c r="F8" s="8">
        <v>0</v>
      </c>
      <c r="G8" s="11">
        <f t="shared" si="0"/>
        <v>0</v>
      </c>
      <c r="H8" s="12">
        <f t="shared" si="1"/>
        <v>0</v>
      </c>
      <c r="I8" s="5">
        <f t="shared" si="2"/>
        <v>1</v>
      </c>
    </row>
    <row r="9" spans="1:9" x14ac:dyDescent="0.25">
      <c r="A9" s="7">
        <v>4</v>
      </c>
      <c r="B9" s="8">
        <v>0.64074607074416756</v>
      </c>
      <c r="C9" s="8">
        <v>0.30109990285723598</v>
      </c>
      <c r="D9" s="8">
        <v>5.3701863527313487E-2</v>
      </c>
      <c r="E9" s="8">
        <v>4.319484278146382E-3</v>
      </c>
      <c r="F9" s="8">
        <v>1.3267859313633069E-4</v>
      </c>
      <c r="G9" s="11">
        <f t="shared" si="0"/>
        <v>0.42199279711884741</v>
      </c>
      <c r="H9" s="12">
        <f t="shared" si="1"/>
        <v>0.35925392925583244</v>
      </c>
      <c r="I9" s="5">
        <f t="shared" si="2"/>
        <v>0.99999999999999978</v>
      </c>
    </row>
    <row r="10" spans="1:9" x14ac:dyDescent="0.25">
      <c r="A10" s="7">
        <v>5</v>
      </c>
      <c r="B10" s="8">
        <v>0.29601883533377771</v>
      </c>
      <c r="C10" s="8">
        <v>0.41839917536360788</v>
      </c>
      <c r="D10" s="8">
        <v>0.22534590801872029</v>
      </c>
      <c r="E10" s="8">
        <v>5.5053323739506242E-2</v>
      </c>
      <c r="F10" s="8">
        <v>5.1827575443879189E-3</v>
      </c>
      <c r="G10" s="11">
        <f t="shared" si="0"/>
        <v>1.0549819927971189</v>
      </c>
      <c r="H10" s="12">
        <f t="shared" si="1"/>
        <v>0.70398116466622229</v>
      </c>
      <c r="I10" s="5">
        <f t="shared" si="2"/>
        <v>1.0000000000000002</v>
      </c>
    </row>
    <row r="11" spans="1:9" x14ac:dyDescent="0.25">
      <c r="A11" s="7">
        <v>6</v>
      </c>
      <c r="B11" s="8">
        <v>0.11119502855645599</v>
      </c>
      <c r="C11" s="8">
        <v>0.32075512634092501</v>
      </c>
      <c r="D11" s="8">
        <v>0.35417779126632459</v>
      </c>
      <c r="E11" s="8">
        <v>0.17867059544043179</v>
      </c>
      <c r="F11" s="8">
        <v>3.5201458395862563E-2</v>
      </c>
      <c r="G11" s="11">
        <f t="shared" si="0"/>
        <v>1.70592832877832</v>
      </c>
      <c r="H11" s="12">
        <f t="shared" si="1"/>
        <v>0.88880497144354398</v>
      </c>
      <c r="I11" s="5">
        <f t="shared" si="2"/>
        <v>0.99999999999999989</v>
      </c>
    </row>
    <row r="12" spans="1:9" x14ac:dyDescent="0.25">
      <c r="A12" s="7">
        <v>7</v>
      </c>
      <c r="B12" s="8">
        <v>3.6761414332885087E-2</v>
      </c>
      <c r="C12" s="8">
        <v>0.18400578734942419</v>
      </c>
      <c r="D12" s="8">
        <v>0.35427106690083587</v>
      </c>
      <c r="E12" s="8">
        <v>0.31408267088431169</v>
      </c>
      <c r="F12" s="8">
        <v>0.11087906053254309</v>
      </c>
      <c r="G12" s="11">
        <f t="shared" si="0"/>
        <v>2.2783121759342038</v>
      </c>
      <c r="H12" s="12">
        <f t="shared" si="1"/>
        <v>0.96323858566711495</v>
      </c>
      <c r="I12" s="5">
        <f t="shared" si="2"/>
        <v>1</v>
      </c>
    </row>
    <row r="13" spans="1:9" x14ac:dyDescent="0.25">
      <c r="A13" s="7">
        <v>8</v>
      </c>
      <c r="B13" s="8">
        <v>1.1237948359021361E-2</v>
      </c>
      <c r="C13" s="8">
        <v>8.9501059643914721E-2</v>
      </c>
      <c r="D13" s="8">
        <v>0.2755917416476259</v>
      </c>
      <c r="E13" s="8">
        <v>0.39364454301279977</v>
      </c>
      <c r="F13" s="8">
        <v>0.23002470733663841</v>
      </c>
      <c r="G13" s="11">
        <f t="shared" si="0"/>
        <v>2.7417170013241194</v>
      </c>
      <c r="H13" s="12">
        <f t="shared" si="1"/>
        <v>0.98876205164097863</v>
      </c>
      <c r="I13" s="5">
        <f t="shared" si="2"/>
        <v>1.0000000000000002</v>
      </c>
    </row>
    <row r="14" spans="1:9" x14ac:dyDescent="0.25">
      <c r="A14" s="7">
        <v>9</v>
      </c>
      <c r="B14" s="8">
        <v>3.275070073010073E-3</v>
      </c>
      <c r="C14" s="8">
        <v>3.9390826429648647E-2</v>
      </c>
      <c r="D14" s="8">
        <v>0.18417015353521929</v>
      </c>
      <c r="E14" s="8">
        <v>0.40160911324736159</v>
      </c>
      <c r="F14" s="8">
        <v>0.37155483671476031</v>
      </c>
      <c r="G14" s="11">
        <f t="shared" si="0"/>
        <v>3.0987778201012133</v>
      </c>
      <c r="H14" s="12">
        <f t="shared" si="1"/>
        <v>0.99672492992698991</v>
      </c>
      <c r="I14" s="5">
        <f t="shared" si="2"/>
        <v>0.99999999999999989</v>
      </c>
    </row>
    <row r="15" spans="1:9" x14ac:dyDescent="0.25">
      <c r="A15" s="7">
        <v>10</v>
      </c>
      <c r="B15" s="8">
        <v>9.269019964253494E-4</v>
      </c>
      <c r="C15" s="8">
        <v>1.6289957003456351E-2</v>
      </c>
      <c r="D15" s="8">
        <v>0.11179405456421609</v>
      </c>
      <c r="E15" s="8">
        <v>0.35875437990573589</v>
      </c>
      <c r="F15" s="8">
        <v>0.51223470653016634</v>
      </c>
      <c r="G15" s="11">
        <f t="shared" si="0"/>
        <v>3.3650800319697614</v>
      </c>
      <c r="H15" s="12">
        <f t="shared" si="1"/>
        <v>0.99907309800357469</v>
      </c>
      <c r="I15" s="5">
        <f t="shared" si="2"/>
        <v>1</v>
      </c>
    </row>
    <row r="16" spans="1:9" x14ac:dyDescent="0.25">
      <c r="A16" s="7">
        <v>11</v>
      </c>
      <c r="B16" s="8">
        <v>2.5750864779372907E-4</v>
      </c>
      <c r="C16" s="8">
        <v>6.4825409910735958E-3</v>
      </c>
      <c r="D16" s="8">
        <v>6.3732713467607713E-2</v>
      </c>
      <c r="E16" s="8">
        <v>0.29294807608656043</v>
      </c>
      <c r="F16" s="8">
        <v>0.63657916080696453</v>
      </c>
      <c r="G16" s="11">
        <f t="shared" si="0"/>
        <v>3.5591088394138284</v>
      </c>
      <c r="H16" s="12">
        <f t="shared" si="1"/>
        <v>0.99974249135220628</v>
      </c>
      <c r="I16" s="5">
        <f t="shared" si="2"/>
        <v>1</v>
      </c>
    </row>
    <row r="17" spans="1:9" x14ac:dyDescent="0.25">
      <c r="A17" s="7">
        <v>12</v>
      </c>
      <c r="B17" s="8">
        <v>7.0682460033152114E-5</v>
      </c>
      <c r="C17" s="8">
        <v>2.5230665033931479E-3</v>
      </c>
      <c r="D17" s="8">
        <v>3.483640701627666E-2</v>
      </c>
      <c r="E17" s="8">
        <v>0.22454499957006921</v>
      </c>
      <c r="F17" s="8">
        <v>0.73802484445022787</v>
      </c>
      <c r="G17" s="11">
        <f t="shared" si="0"/>
        <v>3.6979302570470658</v>
      </c>
      <c r="H17" s="12">
        <f t="shared" si="1"/>
        <v>0.99992931753996683</v>
      </c>
      <c r="I17" s="5">
        <f t="shared" si="2"/>
        <v>1</v>
      </c>
    </row>
    <row r="18" spans="1:9" x14ac:dyDescent="0.25">
      <c r="A18" s="7">
        <v>13</v>
      </c>
      <c r="B18" s="8">
        <v>1.9275695479604551E-5</v>
      </c>
      <c r="C18" s="8">
        <v>9.7165550941194739E-4</v>
      </c>
      <c r="D18" s="8">
        <v>1.849461818545781E-2</v>
      </c>
      <c r="E18" s="8">
        <v>0.1642807777958637</v>
      </c>
      <c r="F18" s="8">
        <v>0.816233672813787</v>
      </c>
      <c r="G18" s="11">
        <f t="shared" si="0"/>
        <v>3.7957379165230667</v>
      </c>
      <c r="H18" s="12">
        <f t="shared" si="1"/>
        <v>0.99998072430452034</v>
      </c>
      <c r="I18" s="5">
        <f t="shared" si="2"/>
        <v>1</v>
      </c>
    </row>
    <row r="20" spans="1:9" x14ac:dyDescent="0.25">
      <c r="A20" s="10" t="s">
        <v>24</v>
      </c>
    </row>
    <row r="21" spans="1:9" x14ac:dyDescent="0.25">
      <c r="A21" s="3" t="s">
        <v>2</v>
      </c>
      <c r="B21" s="3" t="s">
        <v>19</v>
      </c>
      <c r="C21" s="3" t="s">
        <v>20</v>
      </c>
      <c r="D21" s="3" t="s">
        <v>21</v>
      </c>
      <c r="E21" s="3" t="s">
        <v>3</v>
      </c>
      <c r="F21" s="3" t="s">
        <v>4</v>
      </c>
      <c r="G21" s="3" t="s">
        <v>22</v>
      </c>
      <c r="H21" s="3" t="s">
        <v>23</v>
      </c>
      <c r="I21" s="3" t="s">
        <v>15</v>
      </c>
    </row>
    <row r="22" spans="1:9" x14ac:dyDescent="0.25">
      <c r="A22" s="7">
        <v>1</v>
      </c>
      <c r="B22" s="8">
        <v>1</v>
      </c>
      <c r="C22" s="8">
        <v>0</v>
      </c>
      <c r="D22" s="8">
        <v>0</v>
      </c>
      <c r="E22" s="8">
        <v>0</v>
      </c>
      <c r="F22" s="8">
        <v>0</v>
      </c>
      <c r="G22" s="11">
        <f t="shared" ref="G22:G34" si="3">1*C22+2*D22+3*E22+4*F22</f>
        <v>0</v>
      </c>
      <c r="H22" s="12">
        <f t="shared" ref="H22:H34" si="4">1-B22</f>
        <v>0</v>
      </c>
      <c r="I22" s="5">
        <f t="shared" ref="I22:I34" si="5">SUM(B22:F22)</f>
        <v>1</v>
      </c>
    </row>
    <row r="23" spans="1:9" x14ac:dyDescent="0.25">
      <c r="A23" s="7">
        <v>2</v>
      </c>
      <c r="B23" s="8">
        <v>1</v>
      </c>
      <c r="C23" s="8">
        <v>0</v>
      </c>
      <c r="D23" s="8">
        <v>0</v>
      </c>
      <c r="E23" s="8">
        <v>0</v>
      </c>
      <c r="F23" s="8">
        <v>0</v>
      </c>
      <c r="G23" s="11">
        <f t="shared" si="3"/>
        <v>0</v>
      </c>
      <c r="H23" s="12">
        <f t="shared" si="4"/>
        <v>0</v>
      </c>
      <c r="I23" s="5">
        <f t="shared" si="5"/>
        <v>1</v>
      </c>
    </row>
    <row r="24" spans="1:9" x14ac:dyDescent="0.25">
      <c r="A24" s="7">
        <v>3</v>
      </c>
      <c r="B24" s="8">
        <v>0.13244598608185601</v>
      </c>
      <c r="C24" s="8">
        <v>0.34713303597070833</v>
      </c>
      <c r="D24" s="8">
        <v>0.34319804652723918</v>
      </c>
      <c r="E24" s="8">
        <v>0.1518326194118553</v>
      </c>
      <c r="F24" s="8">
        <v>2.5390312008341291E-2</v>
      </c>
      <c r="G24" s="11">
        <f t="shared" si="3"/>
        <v>1.5905882352941179</v>
      </c>
      <c r="H24" s="12">
        <f t="shared" si="4"/>
        <v>0.86755401391814402</v>
      </c>
      <c r="I24" s="5">
        <f t="shared" si="5"/>
        <v>1</v>
      </c>
    </row>
    <row r="25" spans="1:9" x14ac:dyDescent="0.25">
      <c r="A25" s="7">
        <v>4</v>
      </c>
      <c r="B25" s="8">
        <v>3.0172845365373121E-2</v>
      </c>
      <c r="C25" s="8">
        <v>0.16817518261053549</v>
      </c>
      <c r="D25" s="8">
        <v>0.35314977224110872</v>
      </c>
      <c r="E25" s="8">
        <v>0.3312926498741432</v>
      </c>
      <c r="F25" s="8">
        <v>0.1172095499088394</v>
      </c>
      <c r="G25" s="11">
        <f t="shared" si="3"/>
        <v>2.3371908763505398</v>
      </c>
      <c r="H25" s="12">
        <f t="shared" si="4"/>
        <v>0.96982715463462688</v>
      </c>
      <c r="I25" s="5">
        <f t="shared" si="5"/>
        <v>0.99999999999999989</v>
      </c>
    </row>
    <row r="26" spans="1:9" x14ac:dyDescent="0.25">
      <c r="A26" s="7">
        <v>5</v>
      </c>
      <c r="B26" s="8">
        <v>2.8693024563016131E-2</v>
      </c>
      <c r="C26" s="8">
        <v>0.16414237211703811</v>
      </c>
      <c r="D26" s="8">
        <v>0.35200103217072931</v>
      </c>
      <c r="E26" s="8">
        <v>0.3353773525079437</v>
      </c>
      <c r="F26" s="8">
        <v>0.1197862186412728</v>
      </c>
      <c r="G26" s="11">
        <f t="shared" si="3"/>
        <v>2.3534213685474188</v>
      </c>
      <c r="H26" s="12">
        <f t="shared" si="4"/>
        <v>0.97130697543698385</v>
      </c>
      <c r="I26" s="5">
        <f t="shared" si="5"/>
        <v>1</v>
      </c>
    </row>
    <row r="27" spans="1:9" x14ac:dyDescent="0.25">
      <c r="A27" s="7">
        <v>6</v>
      </c>
      <c r="B27" s="8">
        <v>6.0092316741099529E-2</v>
      </c>
      <c r="C27" s="8">
        <v>0.24357768084091361</v>
      </c>
      <c r="D27" s="8">
        <v>0.37357133480656218</v>
      </c>
      <c r="E27" s="8">
        <v>0.25639679250199437</v>
      </c>
      <c r="F27" s="8">
        <v>6.6361875109430174E-2</v>
      </c>
      <c r="G27" s="11">
        <f t="shared" si="3"/>
        <v>2.0253582283977418</v>
      </c>
      <c r="H27" s="12">
        <f t="shared" si="4"/>
        <v>0.93990768325890051</v>
      </c>
      <c r="I27" s="5">
        <f t="shared" si="5"/>
        <v>0.99999999999999978</v>
      </c>
    </row>
    <row r="28" spans="1:9" x14ac:dyDescent="0.25">
      <c r="A28" s="7">
        <v>7</v>
      </c>
      <c r="B28" s="8">
        <v>0.13208218889830509</v>
      </c>
      <c r="C28" s="8">
        <v>0.34189220047140828</v>
      </c>
      <c r="D28" s="8">
        <v>0.34292104456203598</v>
      </c>
      <c r="E28" s="8">
        <v>0.15605892751877551</v>
      </c>
      <c r="F28" s="8">
        <v>2.7045638549475191E-2</v>
      </c>
      <c r="G28" s="11">
        <f t="shared" si="3"/>
        <v>1.6040936263497074</v>
      </c>
      <c r="H28" s="12">
        <f t="shared" si="4"/>
        <v>0.86791781110169497</v>
      </c>
      <c r="I28" s="5">
        <f t="shared" si="5"/>
        <v>1</v>
      </c>
    </row>
    <row r="29" spans="1:9" x14ac:dyDescent="0.25">
      <c r="A29" s="7">
        <v>8</v>
      </c>
      <c r="B29" s="8">
        <v>0.2442334552643203</v>
      </c>
      <c r="C29" s="8">
        <v>0.40174792258310188</v>
      </c>
      <c r="D29" s="8">
        <v>0.26460610961786579</v>
      </c>
      <c r="E29" s="8">
        <v>8.0096651481361442E-2</v>
      </c>
      <c r="F29" s="8">
        <v>9.3158610533505045E-3</v>
      </c>
      <c r="G29" s="11">
        <f t="shared" si="3"/>
        <v>1.2085135404763199</v>
      </c>
      <c r="H29" s="12">
        <f t="shared" si="4"/>
        <v>0.75576654473567972</v>
      </c>
      <c r="I29" s="5">
        <f t="shared" si="5"/>
        <v>0.99999999999999989</v>
      </c>
    </row>
    <row r="30" spans="1:9" x14ac:dyDescent="0.25">
      <c r="A30" s="7">
        <v>9</v>
      </c>
      <c r="B30" s="8">
        <v>0.37947194034038362</v>
      </c>
      <c r="C30" s="8">
        <v>0.40266747443464002</v>
      </c>
      <c r="D30" s="8">
        <v>0.17831738457174109</v>
      </c>
      <c r="E30" s="8">
        <v>3.6629268472020048E-2</v>
      </c>
      <c r="F30" s="8">
        <v>2.9139321812151901E-3</v>
      </c>
      <c r="G30" s="11">
        <f t="shared" si="3"/>
        <v>0.88084577771904315</v>
      </c>
      <c r="H30" s="12">
        <f t="shared" si="4"/>
        <v>0.62052805965961633</v>
      </c>
      <c r="I30" s="5">
        <f t="shared" si="5"/>
        <v>0.99999999999999989</v>
      </c>
    </row>
    <row r="31" spans="1:9" x14ac:dyDescent="0.25">
      <c r="A31" s="7">
        <v>10</v>
      </c>
      <c r="B31" s="8">
        <v>0.51607924853796638</v>
      </c>
      <c r="C31" s="8">
        <v>0.3582401025588372</v>
      </c>
      <c r="D31" s="8">
        <v>0.1092807805730646</v>
      </c>
      <c r="E31" s="8">
        <v>1.5538836052353721E-2</v>
      </c>
      <c r="F31" s="8">
        <v>8.6103227777800488E-4</v>
      </c>
      <c r="G31" s="11">
        <f t="shared" si="3"/>
        <v>0.62686230097313966</v>
      </c>
      <c r="H31" s="12">
        <f t="shared" si="4"/>
        <v>0.48392075146203362</v>
      </c>
      <c r="I31" s="5">
        <f t="shared" si="5"/>
        <v>0.99999999999999989</v>
      </c>
    </row>
    <row r="32" spans="1:9" x14ac:dyDescent="0.25">
      <c r="A32" s="7">
        <v>11</v>
      </c>
      <c r="B32" s="8">
        <v>0.63825812341090526</v>
      </c>
      <c r="C32" s="8">
        <v>0.29244025054130313</v>
      </c>
      <c r="D32" s="8">
        <v>6.2769451665819487E-2</v>
      </c>
      <c r="E32" s="8">
        <v>6.2864573267753443E-3</v>
      </c>
      <c r="F32" s="8">
        <v>2.4571705519670469E-4</v>
      </c>
      <c r="G32" s="11">
        <f t="shared" si="3"/>
        <v>0.43782139407405496</v>
      </c>
      <c r="H32" s="12">
        <f t="shared" si="4"/>
        <v>0.36174187658909474</v>
      </c>
      <c r="I32" s="5">
        <f t="shared" si="5"/>
        <v>0.99999999999999989</v>
      </c>
    </row>
    <row r="33" spans="1:9" x14ac:dyDescent="0.25">
      <c r="A33" s="7">
        <v>12</v>
      </c>
      <c r="B33" s="8">
        <v>0.73869709003593897</v>
      </c>
      <c r="C33" s="8">
        <v>0.22426913427052289</v>
      </c>
      <c r="D33" s="8">
        <v>3.4492416317838157E-2</v>
      </c>
      <c r="E33" s="8">
        <v>2.472759867458413E-3</v>
      </c>
      <c r="F33" s="8">
        <v>6.8599508241702588E-5</v>
      </c>
      <c r="G33" s="11">
        <f t="shared" si="3"/>
        <v>0.30094664454154124</v>
      </c>
      <c r="H33" s="12">
        <f t="shared" si="4"/>
        <v>0.26130290996406103</v>
      </c>
      <c r="I33" s="5">
        <f t="shared" si="5"/>
        <v>1.0000000000000002</v>
      </c>
    </row>
    <row r="34" spans="1:9" x14ac:dyDescent="0.25">
      <c r="A34" s="7">
        <v>13</v>
      </c>
      <c r="B34" s="8">
        <v>0.81648308820631832</v>
      </c>
      <c r="C34" s="8">
        <v>0.16416141812498941</v>
      </c>
      <c r="D34" s="8">
        <v>1.8377811851946171E-2</v>
      </c>
      <c r="E34" s="8">
        <v>9.5877071802408242E-4</v>
      </c>
      <c r="F34" s="8">
        <v>1.8911098722094151E-5</v>
      </c>
      <c r="G34" s="11">
        <f t="shared" si="3"/>
        <v>0.20386899837784239</v>
      </c>
      <c r="H34" s="12">
        <f t="shared" si="4"/>
        <v>0.18351691179368168</v>
      </c>
      <c r="I34" s="5">
        <f t="shared" si="5"/>
        <v>1</v>
      </c>
    </row>
    <row r="36" spans="1:9" x14ac:dyDescent="0.25">
      <c r="A36" s="10" t="s">
        <v>25</v>
      </c>
    </row>
    <row r="37" spans="1:9" x14ac:dyDescent="0.25">
      <c r="A37" s="3" t="s">
        <v>2</v>
      </c>
      <c r="B37" s="3" t="s">
        <v>19</v>
      </c>
      <c r="C37" s="3" t="s">
        <v>20</v>
      </c>
      <c r="D37" s="3" t="s">
        <v>21</v>
      </c>
      <c r="E37" s="3" t="s">
        <v>3</v>
      </c>
      <c r="F37" s="3" t="s">
        <v>4</v>
      </c>
      <c r="G37" s="3" t="s">
        <v>22</v>
      </c>
      <c r="H37" s="3" t="s">
        <v>23</v>
      </c>
      <c r="I37" s="3" t="s">
        <v>15</v>
      </c>
    </row>
    <row r="38" spans="1:9" x14ac:dyDescent="0.25">
      <c r="A38" s="7">
        <v>1</v>
      </c>
      <c r="B38" s="8">
        <v>1</v>
      </c>
      <c r="C38" s="8">
        <v>0</v>
      </c>
      <c r="D38" s="8">
        <v>0</v>
      </c>
      <c r="E38" s="8">
        <v>0</v>
      </c>
      <c r="F38" s="8">
        <v>0</v>
      </c>
      <c r="G38" s="11">
        <f t="shared" ref="G38:G50" si="6">1*C38+2*D38+3*E38+4*F38</f>
        <v>0</v>
      </c>
      <c r="H38" s="12">
        <f t="shared" ref="H38:H50" si="7">1-B38</f>
        <v>0</v>
      </c>
      <c r="I38" s="5">
        <f t="shared" ref="I38:I50" si="8">SUM(B38:F38)</f>
        <v>1</v>
      </c>
    </row>
    <row r="39" spans="1:9" x14ac:dyDescent="0.25">
      <c r="A39" s="7">
        <v>2</v>
      </c>
      <c r="B39" s="8">
        <v>3.1114580892486498E-3</v>
      </c>
      <c r="C39" s="8">
        <v>4.0064703772350753E-2</v>
      </c>
      <c r="D39" s="8">
        <v>0.19419836463725179</v>
      </c>
      <c r="E39" s="8">
        <v>0.4201397976396849</v>
      </c>
      <c r="F39" s="8">
        <v>0.34248567586146389</v>
      </c>
      <c r="G39" s="11">
        <f t="shared" si="6"/>
        <v>3.0588235294117645</v>
      </c>
      <c r="H39" s="12">
        <f t="shared" si="7"/>
        <v>0.99688854191075138</v>
      </c>
      <c r="I39" s="5">
        <f t="shared" si="8"/>
        <v>1</v>
      </c>
    </row>
    <row r="40" spans="1:9" x14ac:dyDescent="0.25">
      <c r="A40" s="7">
        <v>3</v>
      </c>
      <c r="B40" s="8">
        <v>4.0941186199244382E-2</v>
      </c>
      <c r="C40" s="8">
        <v>0.19995800091555349</v>
      </c>
      <c r="D40" s="8">
        <v>0.36701495831896469</v>
      </c>
      <c r="E40" s="8">
        <v>0.2999783946419618</v>
      </c>
      <c r="F40" s="8">
        <v>9.2107459924275562E-2</v>
      </c>
      <c r="G40" s="11">
        <f t="shared" si="6"/>
        <v>2.2023529411764704</v>
      </c>
      <c r="H40" s="12">
        <f t="shared" si="7"/>
        <v>0.95905881380075564</v>
      </c>
      <c r="I40" s="5">
        <f t="shared" si="8"/>
        <v>0.99999999999999989</v>
      </c>
    </row>
    <row r="41" spans="1:9" x14ac:dyDescent="0.25">
      <c r="A41" s="7">
        <v>4</v>
      </c>
      <c r="B41" s="8">
        <v>0.2424891308348357</v>
      </c>
      <c r="C41" s="8">
        <v>0.40944538473837983</v>
      </c>
      <c r="D41" s="8">
        <v>0.26344281676852987</v>
      </c>
      <c r="E41" s="8">
        <v>7.6262265138949736E-2</v>
      </c>
      <c r="F41" s="8">
        <v>8.3604025193046681E-3</v>
      </c>
      <c r="G41" s="11">
        <f t="shared" si="6"/>
        <v>1.1985594237695074</v>
      </c>
      <c r="H41" s="12">
        <f t="shared" si="7"/>
        <v>0.7575108691651643</v>
      </c>
      <c r="I41" s="5">
        <f t="shared" si="8"/>
        <v>0.99999999999999978</v>
      </c>
    </row>
    <row r="42" spans="1:9" x14ac:dyDescent="0.25">
      <c r="A42" s="7">
        <v>5</v>
      </c>
      <c r="B42" s="8">
        <v>0.53490323433644849</v>
      </c>
      <c r="C42" s="8">
        <v>0.35889105577581609</v>
      </c>
      <c r="D42" s="8">
        <v>9.435498161974093E-2</v>
      </c>
      <c r="E42" s="8">
        <v>1.1330462699521079E-2</v>
      </c>
      <c r="F42" s="8">
        <v>5.2026556847349094E-4</v>
      </c>
      <c r="G42" s="11">
        <f t="shared" si="6"/>
        <v>0.58367346938775522</v>
      </c>
      <c r="H42" s="12">
        <f t="shared" si="7"/>
        <v>0.46509676566355151</v>
      </c>
      <c r="I42" s="5">
        <f t="shared" si="8"/>
        <v>1</v>
      </c>
    </row>
    <row r="43" spans="1:9" x14ac:dyDescent="0.25">
      <c r="A43" s="7">
        <v>6</v>
      </c>
      <c r="B43" s="8">
        <v>0.76018861246642455</v>
      </c>
      <c r="C43" s="8">
        <v>0.21364980103916409</v>
      </c>
      <c r="D43" s="8">
        <v>2.4797521885662581E-2</v>
      </c>
      <c r="E43" s="8">
        <v>1.3362849777516111E-3</v>
      </c>
      <c r="F43" s="8">
        <v>2.7779630997134669E-5</v>
      </c>
      <c r="G43" s="11">
        <f t="shared" si="6"/>
        <v>0.26736481826773262</v>
      </c>
      <c r="H43" s="12">
        <f t="shared" si="7"/>
        <v>0.23981138753357545</v>
      </c>
      <c r="I43" s="5">
        <f t="shared" si="8"/>
        <v>0.99999999999999989</v>
      </c>
    </row>
    <row r="44" spans="1:9" x14ac:dyDescent="0.25">
      <c r="A44" s="7">
        <v>7</v>
      </c>
      <c r="B44" s="8">
        <v>0.88858178343326355</v>
      </c>
      <c r="C44" s="8">
        <v>0.105592920562439</v>
      </c>
      <c r="D44" s="8">
        <v>5.6812297606547626E-3</v>
      </c>
      <c r="E44" s="8">
        <v>1.426728181744371E-4</v>
      </c>
      <c r="F44" s="8">
        <v>1.393425468260712E-6</v>
      </c>
      <c r="G44" s="11">
        <f t="shared" si="6"/>
        <v>0.11738897224014488</v>
      </c>
      <c r="H44" s="12">
        <f t="shared" si="7"/>
        <v>0.11141821656673645</v>
      </c>
      <c r="I44" s="5">
        <f t="shared" si="8"/>
        <v>1</v>
      </c>
    </row>
    <row r="45" spans="1:9" x14ac:dyDescent="0.25">
      <c r="A45" s="7">
        <v>8</v>
      </c>
      <c r="B45" s="8">
        <v>0.95152049308410991</v>
      </c>
      <c r="C45" s="8">
        <v>4.7231625631651737E-2</v>
      </c>
      <c r="D45" s="8">
        <v>1.233243178646877E-3</v>
      </c>
      <c r="E45" s="8">
        <v>1.4569608542675411E-5</v>
      </c>
      <c r="F45" s="8">
        <v>6.8497048741944848E-8</v>
      </c>
      <c r="G45" s="11">
        <f t="shared" si="6"/>
        <v>4.9742094802768484E-2</v>
      </c>
      <c r="H45" s="12">
        <f t="shared" si="7"/>
        <v>4.8479506915890092E-2</v>
      </c>
      <c r="I45" s="5">
        <f t="shared" si="8"/>
        <v>0.99999999999999989</v>
      </c>
    </row>
    <row r="46" spans="1:9" x14ac:dyDescent="0.25">
      <c r="A46" s="7">
        <v>9</v>
      </c>
      <c r="B46" s="8">
        <v>0.97989519109028889</v>
      </c>
      <c r="C46" s="8">
        <v>1.983778002357028E-2</v>
      </c>
      <c r="D46" s="8">
        <v>2.6557739395163772E-4</v>
      </c>
      <c r="E46" s="8">
        <v>1.448077395076173E-6</v>
      </c>
      <c r="F46" s="8">
        <v>3.414794069682656E-9</v>
      </c>
      <c r="G46" s="11">
        <f t="shared" si="6"/>
        <v>2.0373292702835066E-2</v>
      </c>
      <c r="H46" s="12">
        <f t="shared" si="7"/>
        <v>2.0104808909711114E-2</v>
      </c>
      <c r="I46" s="5">
        <f t="shared" si="8"/>
        <v>1</v>
      </c>
    </row>
    <row r="47" spans="1:9" x14ac:dyDescent="0.25">
      <c r="A47" s="7">
        <v>10</v>
      </c>
      <c r="B47" s="8">
        <v>0.992001274610113</v>
      </c>
      <c r="C47" s="8">
        <v>7.9402135611020257E-3</v>
      </c>
      <c r="D47" s="8">
        <v>5.8371424481810257E-5</v>
      </c>
      <c r="E47" s="8">
        <v>1.4022384453380269E-7</v>
      </c>
      <c r="F47" s="8">
        <v>1.8045842984839881E-10</v>
      </c>
      <c r="G47" s="11">
        <f t="shared" si="6"/>
        <v>8.0573778034329687E-3</v>
      </c>
      <c r="H47" s="12">
        <f t="shared" si="7"/>
        <v>7.9987253898869959E-3</v>
      </c>
      <c r="I47" s="5">
        <f t="shared" si="8"/>
        <v>0.99999999999999978</v>
      </c>
    </row>
    <row r="48" spans="1:9" x14ac:dyDescent="0.25">
      <c r="A48" s="7">
        <v>11</v>
      </c>
      <c r="B48" s="8">
        <v>0.99694359550068434</v>
      </c>
      <c r="C48" s="8">
        <v>3.0430763877752182E-3</v>
      </c>
      <c r="D48" s="8">
        <v>1.3314881810711221E-5</v>
      </c>
      <c r="E48" s="8">
        <v>1.321917532582808E-8</v>
      </c>
      <c r="F48" s="8">
        <v>1.0554446721813081E-11</v>
      </c>
      <c r="G48" s="11">
        <f t="shared" si="6"/>
        <v>3.0697458511404051E-3</v>
      </c>
      <c r="H48" s="12">
        <f t="shared" si="7"/>
        <v>3.0564044993156569E-3</v>
      </c>
      <c r="I48" s="5">
        <f t="shared" si="8"/>
        <v>1</v>
      </c>
    </row>
    <row r="49" spans="1:9" x14ac:dyDescent="0.25">
      <c r="A49" s="7">
        <v>12</v>
      </c>
      <c r="B49" s="8">
        <v>0.99888007417070035</v>
      </c>
      <c r="C49" s="8">
        <v>1.1167554745924919E-3</v>
      </c>
      <c r="D49" s="8">
        <v>3.1691358747450999E-6</v>
      </c>
      <c r="E49" s="8">
        <v>1.218130691415008E-9</v>
      </c>
      <c r="F49" s="8">
        <v>7.0170113444216468E-13</v>
      </c>
      <c r="G49" s="11">
        <f t="shared" si="6"/>
        <v>1.1230974035408609E-3</v>
      </c>
      <c r="H49" s="12">
        <f t="shared" si="7"/>
        <v>1.1199258292996506E-3</v>
      </c>
      <c r="I49" s="5">
        <f t="shared" si="8"/>
        <v>0.99999999999999989</v>
      </c>
    </row>
    <row r="50" spans="1:9" x14ac:dyDescent="0.25">
      <c r="A50" s="7">
        <v>13</v>
      </c>
      <c r="B50" s="8">
        <v>0.99960769842725106</v>
      </c>
      <c r="C50" s="8">
        <v>3.915181819021286E-4</v>
      </c>
      <c r="D50" s="8">
        <v>7.832806143063127E-7</v>
      </c>
      <c r="E50" s="8">
        <v>1.10164705491409E-10</v>
      </c>
      <c r="F50" s="8">
        <v>6.7656281148062243E-14</v>
      </c>
      <c r="G50" s="11">
        <f t="shared" si="6"/>
        <v>3.9308507389548277E-4</v>
      </c>
      <c r="H50" s="12">
        <f t="shared" si="7"/>
        <v>3.9230157274894317E-4</v>
      </c>
      <c r="I50" s="5">
        <f t="shared" si="8"/>
        <v>0.99999999999999967</v>
      </c>
    </row>
    <row r="52" spans="1:9" x14ac:dyDescent="0.25">
      <c r="A52" s="10" t="s">
        <v>26</v>
      </c>
    </row>
    <row r="53" spans="1:9" x14ac:dyDescent="0.25">
      <c r="A53" s="3" t="s">
        <v>2</v>
      </c>
      <c r="B53" s="3" t="s">
        <v>19</v>
      </c>
      <c r="C53" s="3" t="s">
        <v>20</v>
      </c>
      <c r="D53" s="3" t="s">
        <v>21</v>
      </c>
      <c r="E53" s="3" t="s">
        <v>3</v>
      </c>
      <c r="F53" s="3" t="s">
        <v>4</v>
      </c>
      <c r="G53" s="3" t="s">
        <v>22</v>
      </c>
      <c r="H53" s="3" t="s">
        <v>23</v>
      </c>
      <c r="I53" s="3" t="s">
        <v>15</v>
      </c>
    </row>
    <row r="54" spans="1:9" x14ac:dyDescent="0.25">
      <c r="A54" s="7">
        <v>1</v>
      </c>
      <c r="B54" s="8">
        <v>0</v>
      </c>
      <c r="C54" s="8">
        <v>0</v>
      </c>
      <c r="D54" s="8">
        <v>0</v>
      </c>
      <c r="E54" s="8">
        <v>0</v>
      </c>
      <c r="F54" s="8">
        <v>1</v>
      </c>
      <c r="G54" s="11">
        <f t="shared" ref="G54:G66" si="9">1*C54+2*D54+3*E54+4*F54</f>
        <v>4</v>
      </c>
      <c r="H54" s="12">
        <f t="shared" ref="H54:H66" si="10">1-B54</f>
        <v>1</v>
      </c>
      <c r="I54" s="5">
        <f t="shared" ref="I54:I66" si="11">SUM(B54:F54)</f>
        <v>1</v>
      </c>
    </row>
    <row r="55" spans="1:9" x14ac:dyDescent="0.25">
      <c r="A55" s="7">
        <v>2</v>
      </c>
      <c r="B55" s="8">
        <v>0.34248567586146389</v>
      </c>
      <c r="C55" s="8">
        <v>0.4201397976396849</v>
      </c>
      <c r="D55" s="8">
        <v>0.19419836463725179</v>
      </c>
      <c r="E55" s="8">
        <v>4.0064703772350753E-2</v>
      </c>
      <c r="F55" s="8">
        <v>3.1114580892486498E-3</v>
      </c>
      <c r="G55" s="11">
        <f t="shared" si="9"/>
        <v>0.94117647058823528</v>
      </c>
      <c r="H55" s="12">
        <f t="shared" si="10"/>
        <v>0.65751432413853617</v>
      </c>
      <c r="I55" s="5">
        <f t="shared" si="11"/>
        <v>1</v>
      </c>
    </row>
    <row r="56" spans="1:9" x14ac:dyDescent="0.25">
      <c r="A56" s="7">
        <v>3</v>
      </c>
      <c r="B56" s="8">
        <v>0.80884115262347545</v>
      </c>
      <c r="C56" s="8">
        <v>0.17583765320528749</v>
      </c>
      <c r="D56" s="8">
        <v>1.475058925466133E-2</v>
      </c>
      <c r="E56" s="8">
        <v>5.6242785150126739E-4</v>
      </c>
      <c r="F56" s="8">
        <v>8.1770650744384507E-6</v>
      </c>
      <c r="G56" s="11">
        <f t="shared" si="9"/>
        <v>0.20705882352941171</v>
      </c>
      <c r="H56" s="12">
        <f t="shared" si="10"/>
        <v>0.19115884737652455</v>
      </c>
      <c r="I56" s="5">
        <f t="shared" si="11"/>
        <v>1</v>
      </c>
    </row>
    <row r="57" spans="1:9" x14ac:dyDescent="0.25">
      <c r="A57" s="7">
        <v>4</v>
      </c>
      <c r="B57" s="8">
        <v>0.9584767012771237</v>
      </c>
      <c r="C57" s="8">
        <v>4.0795859407497838E-2</v>
      </c>
      <c r="D57" s="8">
        <v>7.2129480902242732E-4</v>
      </c>
      <c r="E57" s="8">
        <v>6.1242898629164818E-6</v>
      </c>
      <c r="F57" s="8">
        <v>2.0216493250022711E-8</v>
      </c>
      <c r="G57" s="11">
        <f t="shared" si="9"/>
        <v>4.2256902761104442E-2</v>
      </c>
      <c r="H57" s="12">
        <f t="shared" si="10"/>
        <v>4.1523298722876301E-2</v>
      </c>
      <c r="I57" s="5">
        <f t="shared" si="11"/>
        <v>1</v>
      </c>
    </row>
    <row r="58" spans="1:9" x14ac:dyDescent="0.25">
      <c r="A58" s="7">
        <v>5</v>
      </c>
      <c r="B58" s="8">
        <v>0.99210711489663439</v>
      </c>
      <c r="C58" s="8">
        <v>7.8626651097048802E-3</v>
      </c>
      <c r="D58" s="8">
        <v>3.0155879277999449E-5</v>
      </c>
      <c r="E58" s="8">
        <v>6.4058085130843503E-8</v>
      </c>
      <c r="F58" s="8">
        <v>5.6297703191003048E-11</v>
      </c>
      <c r="G58" s="11">
        <f t="shared" si="9"/>
        <v>7.9231692677070847E-3</v>
      </c>
      <c r="H58" s="12">
        <f t="shared" si="10"/>
        <v>7.89288510336561E-3</v>
      </c>
      <c r="I58" s="5">
        <f t="shared" si="11"/>
        <v>1.0000000000000002</v>
      </c>
    </row>
    <row r="59" spans="1:9" x14ac:dyDescent="0.25">
      <c r="A59" s="7">
        <v>6</v>
      </c>
      <c r="B59" s="8">
        <v>0.99865248809428453</v>
      </c>
      <c r="C59" s="8">
        <v>1.346399921577444E-3</v>
      </c>
      <c r="D59" s="8">
        <v>1.1113180022175381E-6</v>
      </c>
      <c r="E59" s="8">
        <v>6.6591908973201188E-10</v>
      </c>
      <c r="F59" s="8">
        <v>2.1657830969480081E-13</v>
      </c>
      <c r="G59" s="11">
        <f t="shared" si="9"/>
        <v>1.3486245562054618E-3</v>
      </c>
      <c r="H59" s="12">
        <f t="shared" si="10"/>
        <v>1.3475119057154705E-3</v>
      </c>
      <c r="I59" s="5">
        <f t="shared" si="11"/>
        <v>0.99999999999999989</v>
      </c>
    </row>
    <row r="60" spans="1:9" x14ac:dyDescent="0.25">
      <c r="A60" s="7">
        <v>7</v>
      </c>
      <c r="B60" s="8">
        <v>0.99979480943981436</v>
      </c>
      <c r="C60" s="8">
        <v>2.0515565075600699E-4</v>
      </c>
      <c r="D60" s="8">
        <v>3.4903101438185781E-8</v>
      </c>
      <c r="E60" s="8">
        <v>6.3270980746366828E-12</v>
      </c>
      <c r="F60" s="8">
        <v>1.0329036200264691E-15</v>
      </c>
      <c r="G60" s="11">
        <f t="shared" si="9"/>
        <v>2.0522547594430921E-4</v>
      </c>
      <c r="H60" s="12">
        <f t="shared" si="10"/>
        <v>2.0519056018564186E-4</v>
      </c>
      <c r="I60" s="5">
        <f t="shared" si="11"/>
        <v>0.99999999999999978</v>
      </c>
    </row>
    <row r="61" spans="1:9" x14ac:dyDescent="0.25">
      <c r="A61" s="7">
        <v>8</v>
      </c>
      <c r="B61" s="8">
        <v>0.99997263749732135</v>
      </c>
      <c r="C61" s="8">
        <v>2.736160861579378E-5</v>
      </c>
      <c r="D61" s="8">
        <v>8.9401235213203748E-10</v>
      </c>
      <c r="E61" s="8">
        <v>5.0685181363512311E-14</v>
      </c>
      <c r="F61" s="8">
        <v>5.2490867195021043E-18</v>
      </c>
      <c r="G61" s="11">
        <f t="shared" si="9"/>
        <v>2.7363396792574582E-5</v>
      </c>
      <c r="H61" s="12">
        <f t="shared" si="10"/>
        <v>2.7362502678651701E-5</v>
      </c>
      <c r="I61" s="5">
        <f t="shared" si="11"/>
        <v>1.0000000000000002</v>
      </c>
    </row>
    <row r="62" spans="1:9" x14ac:dyDescent="0.25">
      <c r="A62" s="7">
        <v>9</v>
      </c>
      <c r="B62" s="8">
        <v>0.99999689054083274</v>
      </c>
      <c r="C62" s="8">
        <v>3.109441426498539E-6</v>
      </c>
      <c r="D62" s="8">
        <v>1.7740390709570229E-11</v>
      </c>
      <c r="E62" s="8">
        <v>3.2234706687530109E-16</v>
      </c>
      <c r="F62" s="8">
        <v>2.8213615408400541E-20</v>
      </c>
      <c r="G62" s="11">
        <f t="shared" si="9"/>
        <v>3.1094769082471118E-6</v>
      </c>
      <c r="H62" s="12">
        <f t="shared" si="10"/>
        <v>3.1094591672609084E-6</v>
      </c>
      <c r="I62" s="5">
        <f t="shared" si="11"/>
        <v>0.99999999999999989</v>
      </c>
    </row>
    <row r="63" spans="1:9" x14ac:dyDescent="0.25">
      <c r="A63" s="7">
        <v>10</v>
      </c>
      <c r="B63" s="8">
        <v>0.99999971074658711</v>
      </c>
      <c r="C63" s="8">
        <v>2.8925315989555491E-7</v>
      </c>
      <c r="D63" s="8">
        <v>2.5299170596651958E-13</v>
      </c>
      <c r="E63" s="8">
        <v>1.4948048837622889E-18</v>
      </c>
      <c r="F63" s="8">
        <v>1.653545225400762E-22</v>
      </c>
      <c r="G63" s="11">
        <f t="shared" si="9"/>
        <v>2.892536658834519E-7</v>
      </c>
      <c r="H63" s="12">
        <f t="shared" si="10"/>
        <v>2.8925341288843498E-7</v>
      </c>
      <c r="I63" s="5">
        <f t="shared" si="11"/>
        <v>1</v>
      </c>
    </row>
    <row r="64" spans="1:9" x14ac:dyDescent="0.25">
      <c r="A64" s="7">
        <v>11</v>
      </c>
      <c r="B64" s="8">
        <v>0.99999997933902607</v>
      </c>
      <c r="C64" s="8">
        <v>2.0660971543888709E-8</v>
      </c>
      <c r="D64" s="8">
        <v>2.2953152463102199E-15</v>
      </c>
      <c r="E64" s="8">
        <v>4.3653593950580172E-21</v>
      </c>
      <c r="F64" s="8">
        <v>1.127417199136885E-24</v>
      </c>
      <c r="G64" s="11">
        <f t="shared" si="9"/>
        <v>2.0660976134532302E-8</v>
      </c>
      <c r="H64" s="12">
        <f t="shared" si="10"/>
        <v>2.0660973931718729E-8</v>
      </c>
      <c r="I64" s="5">
        <f t="shared" si="11"/>
        <v>0.99999999999999989</v>
      </c>
    </row>
    <row r="65" spans="1:9" x14ac:dyDescent="0.25">
      <c r="A65" s="7">
        <v>12</v>
      </c>
      <c r="B65" s="8">
        <v>0.99999999899214742</v>
      </c>
      <c r="C65" s="8">
        <v>1.0078524732609791E-9</v>
      </c>
      <c r="D65" s="8">
        <v>1.055321581495742E-17</v>
      </c>
      <c r="E65" s="8">
        <v>5.9699425020962622E-24</v>
      </c>
      <c r="F65" s="8">
        <v>1.073730665844652E-26</v>
      </c>
      <c r="G65" s="11">
        <f t="shared" si="9"/>
        <v>1.0078524943674288E-9</v>
      </c>
      <c r="H65" s="12">
        <f t="shared" si="10"/>
        <v>1.0078525791712423E-9</v>
      </c>
      <c r="I65" s="5">
        <f t="shared" si="11"/>
        <v>0.99999999999999989</v>
      </c>
    </row>
    <row r="66" spans="1:9" x14ac:dyDescent="0.25">
      <c r="A66" s="7">
        <v>13</v>
      </c>
      <c r="B66" s="8">
        <v>0.9999999999748036</v>
      </c>
      <c r="C66" s="8">
        <v>2.5196312331267131E-11</v>
      </c>
      <c r="D66" s="8">
        <v>1.3959301269653189E-20</v>
      </c>
      <c r="E66" s="8">
        <v>0</v>
      </c>
      <c r="F66" s="8">
        <v>4.473877774352715E-28</v>
      </c>
      <c r="G66" s="11">
        <f t="shared" si="9"/>
        <v>2.5196312359185737E-11</v>
      </c>
      <c r="H66" s="12">
        <f t="shared" si="10"/>
        <v>2.5196400521565465E-11</v>
      </c>
      <c r="I66" s="5">
        <f t="shared" si="11"/>
        <v>0.99999999999999989</v>
      </c>
    </row>
    <row r="68" spans="1:9" x14ac:dyDescent="0.25">
      <c r="A68" s="10" t="s">
        <v>27</v>
      </c>
      <c r="D68" s="2" t="s">
        <v>28</v>
      </c>
    </row>
    <row r="69" spans="1:9" x14ac:dyDescent="0.25">
      <c r="A69" s="3" t="s">
        <v>2</v>
      </c>
      <c r="B69" s="3" t="s">
        <v>19</v>
      </c>
      <c r="C69" s="3" t="s">
        <v>20</v>
      </c>
      <c r="D69" s="3" t="s">
        <v>21</v>
      </c>
      <c r="E69" s="3" t="s">
        <v>3</v>
      </c>
      <c r="F69" s="3" t="s">
        <v>4</v>
      </c>
      <c r="G69" s="3" t="s">
        <v>22</v>
      </c>
      <c r="H69" s="3" t="s">
        <v>23</v>
      </c>
      <c r="I69" s="3" t="s">
        <v>15</v>
      </c>
    </row>
    <row r="70" spans="1:9" x14ac:dyDescent="0.25">
      <c r="A70" s="7">
        <v>1</v>
      </c>
      <c r="B70" s="8">
        <v>0</v>
      </c>
      <c r="C70" s="8">
        <v>0</v>
      </c>
      <c r="D70" s="8">
        <v>0</v>
      </c>
      <c r="E70" s="8">
        <v>0</v>
      </c>
      <c r="F70" s="8">
        <v>1</v>
      </c>
      <c r="G70" s="11">
        <f t="shared" ref="G70:G82" si="12">1*C70+2*D70+3*E70+4*F70</f>
        <v>4</v>
      </c>
      <c r="H70" s="12">
        <f t="shared" ref="H70:H82" si="13">1-B70</f>
        <v>1</v>
      </c>
      <c r="I70" s="5">
        <f t="shared" ref="I70:I82" si="14">SUM(B70:F70)</f>
        <v>1</v>
      </c>
    </row>
    <row r="71" spans="1:9" x14ac:dyDescent="0.25">
      <c r="A71" s="7">
        <v>2</v>
      </c>
      <c r="B71" s="8">
        <v>0</v>
      </c>
      <c r="C71" s="8">
        <v>0</v>
      </c>
      <c r="D71" s="8">
        <v>0</v>
      </c>
      <c r="E71" s="8">
        <v>0</v>
      </c>
      <c r="F71" s="8">
        <v>1</v>
      </c>
      <c r="G71" s="11">
        <f t="shared" si="12"/>
        <v>4</v>
      </c>
      <c r="H71" s="12">
        <f t="shared" si="13"/>
        <v>1</v>
      </c>
      <c r="I71" s="5">
        <f t="shared" si="14"/>
        <v>1</v>
      </c>
    </row>
    <row r="72" spans="1:9" x14ac:dyDescent="0.25">
      <c r="A72" s="7">
        <v>3</v>
      </c>
      <c r="B72" s="8">
        <v>0</v>
      </c>
      <c r="C72" s="8">
        <v>0</v>
      </c>
      <c r="D72" s="8">
        <v>0</v>
      </c>
      <c r="E72" s="8">
        <v>0</v>
      </c>
      <c r="F72" s="8">
        <v>1</v>
      </c>
      <c r="G72" s="11">
        <f t="shared" si="12"/>
        <v>4</v>
      </c>
      <c r="H72" s="12">
        <f t="shared" si="13"/>
        <v>1</v>
      </c>
      <c r="I72" s="5">
        <f t="shared" si="14"/>
        <v>1</v>
      </c>
    </row>
    <row r="73" spans="1:9" x14ac:dyDescent="0.25">
      <c r="A73" s="7">
        <v>4</v>
      </c>
      <c r="B73" s="8">
        <v>1.3267859313633069E-4</v>
      </c>
      <c r="C73" s="8">
        <v>4.3194842781463828E-3</v>
      </c>
      <c r="D73" s="8">
        <v>5.3701863527313501E-2</v>
      </c>
      <c r="E73" s="8">
        <v>0.30109990285723598</v>
      </c>
      <c r="F73" s="8">
        <v>0.64074607074416778</v>
      </c>
      <c r="G73" s="11">
        <f t="shared" si="12"/>
        <v>3.5780072028811523</v>
      </c>
      <c r="H73" s="12">
        <f t="shared" si="13"/>
        <v>0.99986732140686363</v>
      </c>
      <c r="I73" s="5">
        <f t="shared" si="14"/>
        <v>1</v>
      </c>
    </row>
    <row r="74" spans="1:9" x14ac:dyDescent="0.25">
      <c r="A74" s="7">
        <v>5</v>
      </c>
      <c r="B74" s="8">
        <v>5.1827575443879181E-3</v>
      </c>
      <c r="C74" s="8">
        <v>5.5053323739506221E-2</v>
      </c>
      <c r="D74" s="8">
        <v>0.2253459080187202</v>
      </c>
      <c r="E74" s="8">
        <v>0.41839917536360788</v>
      </c>
      <c r="F74" s="8">
        <v>0.2960188353337776</v>
      </c>
      <c r="G74" s="11">
        <f t="shared" si="12"/>
        <v>2.9450180072028806</v>
      </c>
      <c r="H74" s="12">
        <f t="shared" si="13"/>
        <v>0.99481724245561209</v>
      </c>
      <c r="I74" s="5">
        <f t="shared" si="14"/>
        <v>0.99999999999999978</v>
      </c>
    </row>
    <row r="75" spans="1:9" x14ac:dyDescent="0.25">
      <c r="A75" s="7">
        <v>6</v>
      </c>
      <c r="B75" s="8">
        <v>3.5201458395862563E-2</v>
      </c>
      <c r="C75" s="8">
        <v>0.17867059544043179</v>
      </c>
      <c r="D75" s="8">
        <v>0.35417779126632459</v>
      </c>
      <c r="E75" s="8">
        <v>0.32075512634092501</v>
      </c>
      <c r="F75" s="8">
        <v>0.11119502855645599</v>
      </c>
      <c r="G75" s="11">
        <f t="shared" si="12"/>
        <v>2.2940716712216802</v>
      </c>
      <c r="H75" s="12">
        <f t="shared" si="13"/>
        <v>0.96479854160413747</v>
      </c>
      <c r="I75" s="5">
        <f t="shared" si="14"/>
        <v>1</v>
      </c>
    </row>
    <row r="76" spans="1:9" x14ac:dyDescent="0.25">
      <c r="A76" s="7">
        <v>7</v>
      </c>
      <c r="B76" s="8">
        <v>0.110879060532543</v>
      </c>
      <c r="C76" s="8">
        <v>0.31408267088431169</v>
      </c>
      <c r="D76" s="8">
        <v>0.35427106690083587</v>
      </c>
      <c r="E76" s="8">
        <v>0.1840057873494241</v>
      </c>
      <c r="F76" s="8">
        <v>3.6761414332885087E-2</v>
      </c>
      <c r="G76" s="11">
        <f t="shared" si="12"/>
        <v>1.721687824065796</v>
      </c>
      <c r="H76" s="12">
        <f t="shared" si="13"/>
        <v>0.88912093946745696</v>
      </c>
      <c r="I76" s="5">
        <f t="shared" si="14"/>
        <v>0.99999999999999967</v>
      </c>
    </row>
    <row r="77" spans="1:9" x14ac:dyDescent="0.25">
      <c r="A77" s="7">
        <v>8</v>
      </c>
      <c r="B77" s="8">
        <v>0.23002470733663841</v>
      </c>
      <c r="C77" s="8">
        <v>0.39364454301279972</v>
      </c>
      <c r="D77" s="8">
        <v>0.27559174164762579</v>
      </c>
      <c r="E77" s="8">
        <v>8.9501059643914707E-2</v>
      </c>
      <c r="F77" s="8">
        <v>1.1237948359021361E-2</v>
      </c>
      <c r="G77" s="11">
        <f t="shared" si="12"/>
        <v>1.258282998675881</v>
      </c>
      <c r="H77" s="12">
        <f t="shared" si="13"/>
        <v>0.76997529266336162</v>
      </c>
      <c r="I77" s="5">
        <f t="shared" si="14"/>
        <v>1</v>
      </c>
    </row>
    <row r="78" spans="1:9" x14ac:dyDescent="0.25">
      <c r="A78" s="7">
        <v>9</v>
      </c>
      <c r="B78" s="8">
        <v>0.37155483671476031</v>
      </c>
      <c r="C78" s="8">
        <v>0.40160911324736182</v>
      </c>
      <c r="D78" s="8">
        <v>0.18417015353521929</v>
      </c>
      <c r="E78" s="8">
        <v>3.9390826429648661E-2</v>
      </c>
      <c r="F78" s="8">
        <v>3.275070073010073E-3</v>
      </c>
      <c r="G78" s="11">
        <f t="shared" si="12"/>
        <v>0.90122217989878661</v>
      </c>
      <c r="H78" s="12">
        <f t="shared" si="13"/>
        <v>0.62844516328523969</v>
      </c>
      <c r="I78" s="5">
        <f t="shared" si="14"/>
        <v>1</v>
      </c>
    </row>
    <row r="79" spans="1:9" x14ac:dyDescent="0.25">
      <c r="A79" s="7">
        <v>10</v>
      </c>
      <c r="B79" s="8">
        <v>0.51223470653016634</v>
      </c>
      <c r="C79" s="8">
        <v>0.35875437990573589</v>
      </c>
      <c r="D79" s="8">
        <v>0.11179405456421609</v>
      </c>
      <c r="E79" s="8">
        <v>1.6289957003456351E-2</v>
      </c>
      <c r="F79" s="8">
        <v>9.269019964253494E-4</v>
      </c>
      <c r="G79" s="11">
        <f t="shared" si="12"/>
        <v>0.63491996803023854</v>
      </c>
      <c r="H79" s="12">
        <f t="shared" si="13"/>
        <v>0.48776529346983366</v>
      </c>
      <c r="I79" s="5">
        <f t="shared" si="14"/>
        <v>1</v>
      </c>
    </row>
    <row r="80" spans="1:9" x14ac:dyDescent="0.25">
      <c r="A80" s="7">
        <v>11</v>
      </c>
      <c r="B80" s="8">
        <v>0.63657916080696453</v>
      </c>
      <c r="C80" s="8">
        <v>0.29294807608656043</v>
      </c>
      <c r="D80" s="8">
        <v>6.3732713467607713E-2</v>
      </c>
      <c r="E80" s="8">
        <v>6.4825409910735958E-3</v>
      </c>
      <c r="F80" s="8">
        <v>2.5750864779372907E-4</v>
      </c>
      <c r="G80" s="11">
        <f t="shared" si="12"/>
        <v>0.4408911605861715</v>
      </c>
      <c r="H80" s="12">
        <f t="shared" si="13"/>
        <v>0.36342083919303547</v>
      </c>
      <c r="I80" s="5">
        <f t="shared" si="14"/>
        <v>1</v>
      </c>
    </row>
    <row r="81" spans="1:9" x14ac:dyDescent="0.25">
      <c r="A81" s="7">
        <v>12</v>
      </c>
      <c r="B81" s="8">
        <v>0.73802484445022787</v>
      </c>
      <c r="C81" s="8">
        <v>0.22454499957006921</v>
      </c>
      <c r="D81" s="8">
        <v>3.483640701627666E-2</v>
      </c>
      <c r="E81" s="8">
        <v>2.5230665033931479E-3</v>
      </c>
      <c r="F81" s="8">
        <v>7.0682460033152114E-5</v>
      </c>
      <c r="G81" s="11">
        <f t="shared" si="12"/>
        <v>0.30206974295293459</v>
      </c>
      <c r="H81" s="12">
        <f t="shared" si="13"/>
        <v>0.26197515554977213</v>
      </c>
      <c r="I81" s="5">
        <f t="shared" si="14"/>
        <v>1</v>
      </c>
    </row>
    <row r="82" spans="1:9" x14ac:dyDescent="0.25">
      <c r="A82" s="7">
        <v>13</v>
      </c>
      <c r="B82" s="8">
        <v>0.816233672813787</v>
      </c>
      <c r="C82" s="8">
        <v>0.1642807777958637</v>
      </c>
      <c r="D82" s="8">
        <v>1.849461818545781E-2</v>
      </c>
      <c r="E82" s="8">
        <v>9.7165550941194739E-4</v>
      </c>
      <c r="F82" s="8">
        <v>1.9275695479604551E-5</v>
      </c>
      <c r="G82" s="11">
        <f t="shared" si="12"/>
        <v>0.20426208347693356</v>
      </c>
      <c r="H82" s="12">
        <f t="shared" si="13"/>
        <v>0.183766327186213</v>
      </c>
      <c r="I82" s="5">
        <f t="shared" si="14"/>
        <v>1</v>
      </c>
    </row>
    <row r="84" spans="1:9" x14ac:dyDescent="0.25">
      <c r="A84" s="10" t="s">
        <v>29</v>
      </c>
    </row>
    <row r="85" spans="1:9" x14ac:dyDescent="0.25">
      <c r="A85" s="3" t="s">
        <v>2</v>
      </c>
      <c r="B85" s="3" t="s">
        <v>19</v>
      </c>
      <c r="C85" s="3" t="s">
        <v>20</v>
      </c>
      <c r="D85" s="3" t="s">
        <v>21</v>
      </c>
      <c r="E85" s="3" t="s">
        <v>3</v>
      </c>
      <c r="F85" s="3" t="s">
        <v>4</v>
      </c>
      <c r="G85" s="3" t="s">
        <v>22</v>
      </c>
      <c r="H85" s="3" t="s">
        <v>23</v>
      </c>
      <c r="I85" s="3" t="s">
        <v>15</v>
      </c>
    </row>
    <row r="86" spans="1:9" x14ac:dyDescent="0.25">
      <c r="A86" s="7">
        <v>1</v>
      </c>
      <c r="B86" s="8">
        <v>0</v>
      </c>
      <c r="C86" s="8">
        <v>0</v>
      </c>
      <c r="D86" s="8">
        <v>0</v>
      </c>
      <c r="E86" s="8">
        <v>0</v>
      </c>
      <c r="F86" s="8">
        <v>1</v>
      </c>
      <c r="G86" s="11">
        <f t="shared" ref="G86:G98" si="15">1*C86+2*D86+3*E86+4*F86</f>
        <v>4</v>
      </c>
      <c r="H86" s="12">
        <f t="shared" ref="H86:H98" si="16">1-B86</f>
        <v>1</v>
      </c>
      <c r="I86" s="5">
        <f t="shared" ref="I86:I98" si="17">SUM(B86:F86)</f>
        <v>1</v>
      </c>
    </row>
    <row r="87" spans="1:9" x14ac:dyDescent="0.25">
      <c r="A87" s="7">
        <v>2</v>
      </c>
      <c r="B87" s="8">
        <v>0</v>
      </c>
      <c r="C87" s="8">
        <v>0</v>
      </c>
      <c r="D87" s="8">
        <v>0</v>
      </c>
      <c r="E87" s="8">
        <v>0</v>
      </c>
      <c r="F87" s="8">
        <v>1</v>
      </c>
      <c r="G87" s="11">
        <f t="shared" si="15"/>
        <v>4</v>
      </c>
      <c r="H87" s="12">
        <f t="shared" si="16"/>
        <v>1</v>
      </c>
      <c r="I87" s="5">
        <f t="shared" si="17"/>
        <v>1</v>
      </c>
    </row>
    <row r="88" spans="1:9" x14ac:dyDescent="0.25">
      <c r="A88" s="7">
        <v>3</v>
      </c>
      <c r="B88" s="8">
        <v>2.5390312008341291E-2</v>
      </c>
      <c r="C88" s="8">
        <v>0.1518326194118553</v>
      </c>
      <c r="D88" s="8">
        <v>0.34319804652723918</v>
      </c>
      <c r="E88" s="8">
        <v>0.34713303597070833</v>
      </c>
      <c r="F88" s="8">
        <v>0.13244598608185601</v>
      </c>
      <c r="G88" s="11">
        <f t="shared" si="15"/>
        <v>2.4094117647058826</v>
      </c>
      <c r="H88" s="12">
        <f t="shared" si="16"/>
        <v>0.9746096879916587</v>
      </c>
      <c r="I88" s="5">
        <f t="shared" si="17"/>
        <v>1.0000000000000002</v>
      </c>
    </row>
    <row r="89" spans="1:9" x14ac:dyDescent="0.25">
      <c r="A89" s="7">
        <v>4</v>
      </c>
      <c r="B89" s="8">
        <v>0.2288268396642312</v>
      </c>
      <c r="C89" s="8">
        <v>0.4044160529153133</v>
      </c>
      <c r="D89" s="8">
        <v>0.27355247963209489</v>
      </c>
      <c r="E89" s="8">
        <v>8.352319680233293E-2</v>
      </c>
      <c r="F89" s="8">
        <v>9.6814309860275491E-3</v>
      </c>
      <c r="G89" s="11">
        <f t="shared" si="15"/>
        <v>1.2408163265306118</v>
      </c>
      <c r="H89" s="12">
        <f t="shared" si="16"/>
        <v>0.77117316033576877</v>
      </c>
      <c r="I89" s="5">
        <f t="shared" si="17"/>
        <v>0.99999999999999978</v>
      </c>
    </row>
    <row r="90" spans="1:9" x14ac:dyDescent="0.25">
      <c r="A90" s="7">
        <v>5</v>
      </c>
      <c r="B90" s="8">
        <v>0.53023957189995075</v>
      </c>
      <c r="C90" s="8">
        <v>0.36085385189391228</v>
      </c>
      <c r="D90" s="8">
        <v>9.6531213855073933E-2</v>
      </c>
      <c r="E90" s="8">
        <v>1.18210903528499E-2</v>
      </c>
      <c r="F90" s="8">
        <v>5.5427199821308213E-4</v>
      </c>
      <c r="G90" s="11">
        <f t="shared" si="15"/>
        <v>0.5915966386554623</v>
      </c>
      <c r="H90" s="12">
        <f t="shared" si="16"/>
        <v>0.46976042810004925</v>
      </c>
      <c r="I90" s="5">
        <f t="shared" si="17"/>
        <v>1</v>
      </c>
    </row>
    <row r="91" spans="1:9" x14ac:dyDescent="0.25">
      <c r="A91" s="7">
        <v>6</v>
      </c>
      <c r="B91" s="8">
        <v>0.7591547500782545</v>
      </c>
      <c r="C91" s="8">
        <v>0.21439633491156049</v>
      </c>
      <c r="D91" s="8">
        <v>2.505821436960275E-2</v>
      </c>
      <c r="E91" s="8">
        <v>1.3621233891570161E-3</v>
      </c>
      <c r="F91" s="8">
        <v>2.8577251425248789E-5</v>
      </c>
      <c r="G91" s="11">
        <f t="shared" si="15"/>
        <v>0.268713442823938</v>
      </c>
      <c r="H91" s="12">
        <f t="shared" si="16"/>
        <v>0.2408452499217455</v>
      </c>
      <c r="I91" s="5">
        <f t="shared" si="17"/>
        <v>1</v>
      </c>
    </row>
    <row r="92" spans="1:9" x14ac:dyDescent="0.25">
      <c r="A92" s="7">
        <v>7</v>
      </c>
      <c r="B92" s="8">
        <v>0.8884038990545029</v>
      </c>
      <c r="C92" s="8">
        <v>0.10574475447137149</v>
      </c>
      <c r="D92" s="8">
        <v>5.7060077486980757E-3</v>
      </c>
      <c r="E92" s="8">
        <v>1.4392715438925761E-4</v>
      </c>
      <c r="F92" s="8">
        <v>1.411571038466862E-6</v>
      </c>
      <c r="G92" s="11">
        <f t="shared" si="15"/>
        <v>0.11759419771608928</v>
      </c>
      <c r="H92" s="12">
        <f t="shared" si="16"/>
        <v>0.1115961009454971</v>
      </c>
      <c r="I92" s="5">
        <f t="shared" si="17"/>
        <v>1.0000000000000002</v>
      </c>
    </row>
    <row r="93" spans="1:9" x14ac:dyDescent="0.25">
      <c r="A93" s="7">
        <v>8</v>
      </c>
      <c r="B93" s="8">
        <v>0.95149529544896427</v>
      </c>
      <c r="C93" s="8">
        <v>4.7254718493688258E-2</v>
      </c>
      <c r="D93" s="8">
        <v>1.235287377947719E-3</v>
      </c>
      <c r="E93" s="8">
        <v>1.4629767621088299E-5</v>
      </c>
      <c r="F93" s="8">
        <v>6.8911778522590454E-8</v>
      </c>
      <c r="G93" s="11">
        <f t="shared" si="15"/>
        <v>4.9769458199561058E-2</v>
      </c>
      <c r="H93" s="12">
        <f t="shared" si="16"/>
        <v>4.8504704551035727E-2</v>
      </c>
      <c r="I93" s="5">
        <f t="shared" si="17"/>
        <v>0.99999999999999989</v>
      </c>
    </row>
    <row r="94" spans="1:9" x14ac:dyDescent="0.25">
      <c r="A94" s="7">
        <v>9</v>
      </c>
      <c r="B94" s="8">
        <v>0.97989223486731825</v>
      </c>
      <c r="C94" s="8">
        <v>1.984058590579392E-2</v>
      </c>
      <c r="D94" s="8">
        <v>2.6572483155440439E-4</v>
      </c>
      <c r="E94" s="8">
        <v>1.450970493485065E-6</v>
      </c>
      <c r="F94" s="8">
        <v>3.4248400325023081E-9</v>
      </c>
      <c r="G94" s="11">
        <f t="shared" si="15"/>
        <v>2.0376402179743312E-2</v>
      </c>
      <c r="H94" s="12">
        <f t="shared" si="16"/>
        <v>2.0107765132681754E-2</v>
      </c>
      <c r="I94" s="5">
        <f t="shared" si="17"/>
        <v>1.0000000000000002</v>
      </c>
    </row>
    <row r="95" spans="1:9" x14ac:dyDescent="0.25">
      <c r="A95" s="7">
        <v>10</v>
      </c>
      <c r="B95" s="8">
        <v>0.99200099462976321</v>
      </c>
      <c r="C95" s="8">
        <v>7.9404844049881396E-3</v>
      </c>
      <c r="D95" s="8">
        <v>5.8380424371152843E-5</v>
      </c>
      <c r="E95" s="8">
        <v>1.4036014095555899E-7</v>
      </c>
      <c r="F95" s="8">
        <v>1.80736384259529E-10</v>
      </c>
      <c r="G95" s="11">
        <f t="shared" si="15"/>
        <v>8.0576670570988492E-3</v>
      </c>
      <c r="H95" s="12">
        <f t="shared" si="16"/>
        <v>7.9990053702367891E-3</v>
      </c>
      <c r="I95" s="5">
        <f t="shared" si="17"/>
        <v>0.99999999999999989</v>
      </c>
    </row>
    <row r="96" spans="1:9" x14ac:dyDescent="0.25">
      <c r="A96" s="7">
        <v>11</v>
      </c>
      <c r="B96" s="8">
        <v>0.99694357528849631</v>
      </c>
      <c r="C96" s="8">
        <v>3.0430961571662092E-3</v>
      </c>
      <c r="D96" s="8">
        <v>1.331531862542492E-5</v>
      </c>
      <c r="E96" s="8">
        <v>1.3225148379628209E-8</v>
      </c>
      <c r="F96" s="8">
        <v>1.056358554008839E-11</v>
      </c>
      <c r="G96" s="11">
        <f t="shared" si="15"/>
        <v>3.06976651211654E-3</v>
      </c>
      <c r="H96" s="12">
        <f t="shared" si="16"/>
        <v>3.0564247115036913E-3</v>
      </c>
      <c r="I96" s="5">
        <f t="shared" si="17"/>
        <v>1</v>
      </c>
    </row>
    <row r="97" spans="1:9" x14ac:dyDescent="0.25">
      <c r="A97" s="7">
        <v>12</v>
      </c>
      <c r="B97" s="8">
        <v>0.99888007317830541</v>
      </c>
      <c r="C97" s="8">
        <v>1.116756451751947E-3</v>
      </c>
      <c r="D97" s="8">
        <v>3.1691508884284159E-6</v>
      </c>
      <c r="E97" s="8">
        <v>1.218352092749233E-9</v>
      </c>
      <c r="F97" s="8">
        <v>7.020682056237926E-13</v>
      </c>
      <c r="G97" s="11">
        <f t="shared" si="15"/>
        <v>1.123098411393355E-3</v>
      </c>
      <c r="H97" s="12">
        <f t="shared" si="16"/>
        <v>1.1199268216945946E-3</v>
      </c>
      <c r="I97" s="5">
        <f t="shared" si="17"/>
        <v>0.99999999999999989</v>
      </c>
    </row>
    <row r="98" spans="1:9" x14ac:dyDescent="0.25">
      <c r="A98" s="7">
        <v>13</v>
      </c>
      <c r="B98" s="8">
        <v>0.99960769840233976</v>
      </c>
      <c r="C98" s="8">
        <v>3.9151820653409428E-4</v>
      </c>
      <c r="D98" s="8">
        <v>7.8328088833691318E-7</v>
      </c>
      <c r="E98" s="8">
        <v>1.101700977902067E-10</v>
      </c>
      <c r="F98" s="8">
        <v>6.7683403846326072E-14</v>
      </c>
      <c r="G98" s="11">
        <f t="shared" si="15"/>
        <v>3.9308509909179515E-4</v>
      </c>
      <c r="H98" s="12">
        <f t="shared" si="16"/>
        <v>3.9230159766023842E-4</v>
      </c>
      <c r="I98" s="5">
        <f t="shared" si="17"/>
        <v>1</v>
      </c>
    </row>
    <row r="100" spans="1:9" x14ac:dyDescent="0.25">
      <c r="A100" s="10" t="s">
        <v>30</v>
      </c>
      <c r="D100" s="2" t="s">
        <v>31</v>
      </c>
    </row>
    <row r="101" spans="1:9" x14ac:dyDescent="0.25">
      <c r="A101" s="3" t="s">
        <v>2</v>
      </c>
      <c r="B101" s="3" t="s">
        <v>19</v>
      </c>
      <c r="C101" s="3" t="s">
        <v>20</v>
      </c>
      <c r="D101" s="3" t="s">
        <v>21</v>
      </c>
      <c r="E101" s="3" t="s">
        <v>3</v>
      </c>
      <c r="F101" s="3" t="s">
        <v>4</v>
      </c>
      <c r="G101" s="3" t="s">
        <v>22</v>
      </c>
      <c r="H101" s="3" t="s">
        <v>23</v>
      </c>
      <c r="I101" s="3" t="s">
        <v>15</v>
      </c>
    </row>
    <row r="102" spans="1:9" x14ac:dyDescent="0.25">
      <c r="A102" s="7">
        <v>1</v>
      </c>
      <c r="B102" s="8">
        <v>0</v>
      </c>
      <c r="C102" s="8">
        <v>0</v>
      </c>
      <c r="D102" s="8">
        <v>0</v>
      </c>
      <c r="E102" s="8">
        <v>0</v>
      </c>
      <c r="F102" s="8">
        <v>1</v>
      </c>
      <c r="G102" s="11">
        <f t="shared" ref="G102:G114" si="18">1*C102+2*D102+3*E102+4*F102</f>
        <v>4</v>
      </c>
      <c r="H102" s="12">
        <f t="shared" ref="H102:H114" si="19">1-B102</f>
        <v>1</v>
      </c>
      <c r="I102" s="5">
        <f t="shared" ref="I102:I114" si="20">SUM(B102:F102)</f>
        <v>1</v>
      </c>
    </row>
    <row r="103" spans="1:9" x14ac:dyDescent="0.25">
      <c r="A103" s="7">
        <v>2</v>
      </c>
      <c r="B103" s="8">
        <v>0.34248567586146389</v>
      </c>
      <c r="C103" s="8">
        <v>0.4201397976396849</v>
      </c>
      <c r="D103" s="8">
        <v>0.19419836463725179</v>
      </c>
      <c r="E103" s="8">
        <v>4.0064703772350753E-2</v>
      </c>
      <c r="F103" s="8">
        <v>3.1114580892486498E-3</v>
      </c>
      <c r="G103" s="11">
        <f t="shared" si="18"/>
        <v>0.94117647058823528</v>
      </c>
      <c r="H103" s="12">
        <f t="shared" si="19"/>
        <v>0.65751432413853617</v>
      </c>
      <c r="I103" s="5">
        <f t="shared" si="20"/>
        <v>1</v>
      </c>
    </row>
    <row r="104" spans="1:9" x14ac:dyDescent="0.25">
      <c r="A104" s="7">
        <v>3</v>
      </c>
      <c r="B104" s="8">
        <v>0.80884115262347545</v>
      </c>
      <c r="C104" s="8">
        <v>0.17583765320528749</v>
      </c>
      <c r="D104" s="8">
        <v>1.475058925466133E-2</v>
      </c>
      <c r="E104" s="8">
        <v>5.6242785150126739E-4</v>
      </c>
      <c r="F104" s="8">
        <v>8.1770650744384507E-6</v>
      </c>
      <c r="G104" s="11">
        <f t="shared" si="18"/>
        <v>0.20705882352941171</v>
      </c>
      <c r="H104" s="12">
        <f t="shared" si="19"/>
        <v>0.19115884737652455</v>
      </c>
      <c r="I104" s="5">
        <f t="shared" si="20"/>
        <v>1</v>
      </c>
    </row>
    <row r="105" spans="1:9" x14ac:dyDescent="0.25">
      <c r="A105" s="7">
        <v>4</v>
      </c>
      <c r="B105" s="8">
        <v>0.9584767012771237</v>
      </c>
      <c r="C105" s="8">
        <v>4.0795859407497838E-2</v>
      </c>
      <c r="D105" s="8">
        <v>7.2129480902242732E-4</v>
      </c>
      <c r="E105" s="8">
        <v>6.1242898629164818E-6</v>
      </c>
      <c r="F105" s="8">
        <v>2.0216493250022711E-8</v>
      </c>
      <c r="G105" s="11">
        <f t="shared" si="18"/>
        <v>4.2256902761104442E-2</v>
      </c>
      <c r="H105" s="12">
        <f t="shared" si="19"/>
        <v>4.1523298722876301E-2</v>
      </c>
      <c r="I105" s="5">
        <f t="shared" si="20"/>
        <v>1</v>
      </c>
    </row>
    <row r="106" spans="1:9" x14ac:dyDescent="0.25">
      <c r="A106" s="7">
        <v>5</v>
      </c>
      <c r="B106" s="8">
        <v>0.99210711489663439</v>
      </c>
      <c r="C106" s="8">
        <v>7.8626651097048802E-3</v>
      </c>
      <c r="D106" s="8">
        <v>3.0155879277999449E-5</v>
      </c>
      <c r="E106" s="8">
        <v>6.4058085130843503E-8</v>
      </c>
      <c r="F106" s="8">
        <v>5.6297703191003048E-11</v>
      </c>
      <c r="G106" s="11">
        <f t="shared" si="18"/>
        <v>7.9231692677070847E-3</v>
      </c>
      <c r="H106" s="12">
        <f t="shared" si="19"/>
        <v>7.89288510336561E-3</v>
      </c>
      <c r="I106" s="5">
        <f t="shared" si="20"/>
        <v>1.0000000000000002</v>
      </c>
    </row>
    <row r="107" spans="1:9" x14ac:dyDescent="0.25">
      <c r="A107" s="7">
        <v>6</v>
      </c>
      <c r="B107" s="8">
        <v>0.99865248809428453</v>
      </c>
      <c r="C107" s="8">
        <v>1.346399921577444E-3</v>
      </c>
      <c r="D107" s="8">
        <v>1.1113180022175381E-6</v>
      </c>
      <c r="E107" s="8">
        <v>6.6591908973201188E-10</v>
      </c>
      <c r="F107" s="8">
        <v>2.1657830969480081E-13</v>
      </c>
      <c r="G107" s="11">
        <f t="shared" si="18"/>
        <v>1.3486245562054618E-3</v>
      </c>
      <c r="H107" s="12">
        <f t="shared" si="19"/>
        <v>1.3475119057154705E-3</v>
      </c>
      <c r="I107" s="5">
        <f t="shared" si="20"/>
        <v>0.99999999999999989</v>
      </c>
    </row>
    <row r="108" spans="1:9" x14ac:dyDescent="0.25">
      <c r="A108" s="7">
        <v>7</v>
      </c>
      <c r="B108" s="8">
        <v>0.99979480943981436</v>
      </c>
      <c r="C108" s="8">
        <v>2.0515565075600699E-4</v>
      </c>
      <c r="D108" s="8">
        <v>3.4903101438185781E-8</v>
      </c>
      <c r="E108" s="8">
        <v>6.3270980746366828E-12</v>
      </c>
      <c r="F108" s="8">
        <v>1.0329036200264691E-15</v>
      </c>
      <c r="G108" s="11">
        <f t="shared" si="18"/>
        <v>2.0522547594430921E-4</v>
      </c>
      <c r="H108" s="12">
        <f t="shared" si="19"/>
        <v>2.0519056018564186E-4</v>
      </c>
      <c r="I108" s="5">
        <f t="shared" si="20"/>
        <v>0.99999999999999978</v>
      </c>
    </row>
    <row r="109" spans="1:9" x14ac:dyDescent="0.25">
      <c r="A109" s="7">
        <v>8</v>
      </c>
      <c r="B109" s="8">
        <v>0.99997263749732135</v>
      </c>
      <c r="C109" s="8">
        <v>2.736160861579378E-5</v>
      </c>
      <c r="D109" s="8">
        <v>8.9401235213203748E-10</v>
      </c>
      <c r="E109" s="8">
        <v>5.0685181363512311E-14</v>
      </c>
      <c r="F109" s="8">
        <v>5.2490867195021043E-18</v>
      </c>
      <c r="G109" s="11">
        <f t="shared" si="18"/>
        <v>2.7363396792574582E-5</v>
      </c>
      <c r="H109" s="12">
        <f t="shared" si="19"/>
        <v>2.7362502678651701E-5</v>
      </c>
      <c r="I109" s="5">
        <f t="shared" si="20"/>
        <v>1.0000000000000002</v>
      </c>
    </row>
    <row r="110" spans="1:9" x14ac:dyDescent="0.25">
      <c r="A110" s="7">
        <v>9</v>
      </c>
      <c r="B110" s="8">
        <v>0.99999689054083274</v>
      </c>
      <c r="C110" s="8">
        <v>3.109441426498539E-6</v>
      </c>
      <c r="D110" s="8">
        <v>1.7740390709570229E-11</v>
      </c>
      <c r="E110" s="8">
        <v>3.2234706687530109E-16</v>
      </c>
      <c r="F110" s="8">
        <v>2.8213615408400541E-20</v>
      </c>
      <c r="G110" s="11">
        <f t="shared" si="18"/>
        <v>3.1094769082471118E-6</v>
      </c>
      <c r="H110" s="12">
        <f t="shared" si="19"/>
        <v>3.1094591672609084E-6</v>
      </c>
      <c r="I110" s="5">
        <f t="shared" si="20"/>
        <v>0.99999999999999989</v>
      </c>
    </row>
    <row r="111" spans="1:9" x14ac:dyDescent="0.25">
      <c r="A111" s="7">
        <v>10</v>
      </c>
      <c r="B111" s="8">
        <v>0.99999971074658711</v>
      </c>
      <c r="C111" s="8">
        <v>2.8925315989555491E-7</v>
      </c>
      <c r="D111" s="8">
        <v>2.5299170596651958E-13</v>
      </c>
      <c r="E111" s="8">
        <v>1.4948048837622889E-18</v>
      </c>
      <c r="F111" s="8">
        <v>1.653545225400762E-22</v>
      </c>
      <c r="G111" s="11">
        <f t="shared" si="18"/>
        <v>2.892536658834519E-7</v>
      </c>
      <c r="H111" s="12">
        <f t="shared" si="19"/>
        <v>2.8925341288843498E-7</v>
      </c>
      <c r="I111" s="5">
        <f t="shared" si="20"/>
        <v>1</v>
      </c>
    </row>
    <row r="112" spans="1:9" x14ac:dyDescent="0.25">
      <c r="A112" s="7">
        <v>11</v>
      </c>
      <c r="B112" s="8">
        <v>0.99999997933902607</v>
      </c>
      <c r="C112" s="8">
        <v>2.0660971543888709E-8</v>
      </c>
      <c r="D112" s="8">
        <v>2.2953152463102199E-15</v>
      </c>
      <c r="E112" s="8">
        <v>4.3653593950580172E-21</v>
      </c>
      <c r="F112" s="8">
        <v>1.127417199136885E-24</v>
      </c>
      <c r="G112" s="11">
        <f t="shared" si="18"/>
        <v>2.0660976134532302E-8</v>
      </c>
      <c r="H112" s="12">
        <f t="shared" si="19"/>
        <v>2.0660973931718729E-8</v>
      </c>
      <c r="I112" s="5">
        <f t="shared" si="20"/>
        <v>0.99999999999999989</v>
      </c>
    </row>
    <row r="113" spans="1:9" x14ac:dyDescent="0.25">
      <c r="A113" s="7">
        <v>12</v>
      </c>
      <c r="B113" s="8">
        <v>0.99999999899214742</v>
      </c>
      <c r="C113" s="8">
        <v>1.0078524732609791E-9</v>
      </c>
      <c r="D113" s="8">
        <v>1.055321581495742E-17</v>
      </c>
      <c r="E113" s="8">
        <v>5.9699425020962622E-24</v>
      </c>
      <c r="F113" s="8">
        <v>1.073730665844652E-26</v>
      </c>
      <c r="G113" s="11">
        <f t="shared" si="18"/>
        <v>1.0078524943674288E-9</v>
      </c>
      <c r="H113" s="12">
        <f t="shared" si="19"/>
        <v>1.0078525791712423E-9</v>
      </c>
      <c r="I113" s="5">
        <f t="shared" si="20"/>
        <v>0.99999999999999989</v>
      </c>
    </row>
    <row r="114" spans="1:9" x14ac:dyDescent="0.25">
      <c r="A114" s="7">
        <v>13</v>
      </c>
      <c r="B114" s="8">
        <v>0.9999999999748036</v>
      </c>
      <c r="C114" s="8">
        <v>2.5196312331267131E-11</v>
      </c>
      <c r="D114" s="8">
        <v>1.3959301269653189E-20</v>
      </c>
      <c r="E114" s="8">
        <v>0</v>
      </c>
      <c r="F114" s="8">
        <v>4.473877774352715E-28</v>
      </c>
      <c r="G114" s="11">
        <f t="shared" si="18"/>
        <v>2.5196312359185737E-11</v>
      </c>
      <c r="H114" s="12">
        <f t="shared" si="19"/>
        <v>2.5196400521565465E-11</v>
      </c>
      <c r="I114" s="5">
        <f t="shared" si="20"/>
        <v>0.99999999999999989</v>
      </c>
    </row>
  </sheetData>
  <conditionalFormatting sqref="B6:F18">
    <cfRule type="colorScale" priority="1">
      <colorScale>
        <cfvo type="num" val="0"/>
        <cfvo type="num" val="1"/>
        <color rgb="FFFFFFFF"/>
        <color rgb="FF4F9A6E"/>
      </colorScale>
    </cfRule>
  </conditionalFormatting>
  <conditionalFormatting sqref="B22:F34">
    <cfRule type="colorScale" priority="2">
      <colorScale>
        <cfvo type="num" val="0"/>
        <cfvo type="num" val="1"/>
        <color rgb="FFFFFFFF"/>
        <color rgb="FF4F9A6E"/>
      </colorScale>
    </cfRule>
  </conditionalFormatting>
  <conditionalFormatting sqref="B38:F50">
    <cfRule type="colorScale" priority="3">
      <colorScale>
        <cfvo type="num" val="0"/>
        <cfvo type="num" val="1"/>
        <color rgb="FFFFFFFF"/>
        <color rgb="FF4F9A6E"/>
      </colorScale>
    </cfRule>
  </conditionalFormatting>
  <conditionalFormatting sqref="B54:F66">
    <cfRule type="colorScale" priority="4">
      <colorScale>
        <cfvo type="num" val="0"/>
        <cfvo type="num" val="1"/>
        <color rgb="FFFFFFFF"/>
        <color rgb="FF4F9A6E"/>
      </colorScale>
    </cfRule>
  </conditionalFormatting>
  <conditionalFormatting sqref="B70:F82">
    <cfRule type="colorScale" priority="5">
      <colorScale>
        <cfvo type="num" val="0"/>
        <cfvo type="num" val="1"/>
        <color rgb="FFFFFFFF"/>
        <color rgb="FF4F9A6E"/>
      </colorScale>
    </cfRule>
  </conditionalFormatting>
  <conditionalFormatting sqref="B86:F98">
    <cfRule type="colorScale" priority="6">
      <colorScale>
        <cfvo type="num" val="0"/>
        <cfvo type="num" val="1"/>
        <color rgb="FFFFFFFF"/>
        <color rgb="FF4F9A6E"/>
      </colorScale>
    </cfRule>
  </conditionalFormatting>
  <conditionalFormatting sqref="B102:F114">
    <cfRule type="colorScale" priority="7">
      <colorScale>
        <cfvo type="num" val="0"/>
        <cfvo type="num" val="1"/>
        <color rgb="FFFFFFFF"/>
        <color rgb="FF4F9A6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3"/>
  <sheetViews>
    <sheetView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5" x14ac:dyDescent="0.25"/>
  <cols>
    <col min="1" max="1" width="9" customWidth="1"/>
    <col min="2" max="7" width="11" customWidth="1"/>
    <col min="8" max="8" width="12" customWidth="1"/>
    <col min="9" max="9" width="11" customWidth="1"/>
    <col min="10" max="10" width="9" customWidth="1"/>
  </cols>
  <sheetData>
    <row r="1" spans="1:10" ht="16.5" x14ac:dyDescent="0.25">
      <c r="A1" s="1" t="s">
        <v>34</v>
      </c>
    </row>
    <row r="2" spans="1:10" x14ac:dyDescent="0.25">
      <c r="A2" s="2" t="s">
        <v>35</v>
      </c>
    </row>
    <row r="4" spans="1:10" x14ac:dyDescent="0.25">
      <c r="A4" s="10" t="s">
        <v>18</v>
      </c>
    </row>
    <row r="5" spans="1:10" x14ac:dyDescent="0.25">
      <c r="A5" s="3" t="s">
        <v>2</v>
      </c>
      <c r="B5" s="3" t="s">
        <v>19</v>
      </c>
      <c r="C5" s="3" t="s">
        <v>20</v>
      </c>
      <c r="D5" s="3" t="s">
        <v>21</v>
      </c>
      <c r="E5" s="3" t="s">
        <v>3</v>
      </c>
      <c r="F5" s="3" t="s">
        <v>4</v>
      </c>
      <c r="G5" s="3" t="s">
        <v>5</v>
      </c>
      <c r="H5" s="3" t="s">
        <v>22</v>
      </c>
      <c r="I5" s="3" t="s">
        <v>23</v>
      </c>
      <c r="J5" s="3" t="s">
        <v>15</v>
      </c>
    </row>
    <row r="6" spans="1:10" x14ac:dyDescent="0.25">
      <c r="A6" s="7">
        <v>1</v>
      </c>
      <c r="B6" s="8">
        <v>1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11">
        <f t="shared" ref="H6:H15" si="0">1*C6+2*D6+3*E6+4*F6+5*G6</f>
        <v>0</v>
      </c>
      <c r="I6" s="12">
        <f t="shared" ref="I6:I15" si="1">1-B6</f>
        <v>0</v>
      </c>
      <c r="J6" s="5">
        <f t="shared" ref="J6:J15" si="2">SUM(B6:G6)</f>
        <v>1</v>
      </c>
    </row>
    <row r="7" spans="1:10" x14ac:dyDescent="0.25">
      <c r="A7" s="7">
        <v>2</v>
      </c>
      <c r="B7" s="8">
        <v>1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11">
        <f t="shared" si="0"/>
        <v>0</v>
      </c>
      <c r="I7" s="12">
        <f t="shared" si="1"/>
        <v>0</v>
      </c>
      <c r="J7" s="5">
        <f t="shared" si="2"/>
        <v>1</v>
      </c>
    </row>
    <row r="8" spans="1:10" x14ac:dyDescent="0.25">
      <c r="A8" s="7">
        <v>3</v>
      </c>
      <c r="B8" s="8">
        <v>1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11">
        <f t="shared" si="0"/>
        <v>0</v>
      </c>
      <c r="I8" s="12">
        <f t="shared" si="1"/>
        <v>0</v>
      </c>
      <c r="J8" s="5">
        <f t="shared" si="2"/>
        <v>1</v>
      </c>
    </row>
    <row r="9" spans="1:10" x14ac:dyDescent="0.25">
      <c r="A9" s="7">
        <v>4</v>
      </c>
      <c r="B9" s="8">
        <v>0.57345943503677621</v>
      </c>
      <c r="C9" s="8">
        <v>0.33643317853695759</v>
      </c>
      <c r="D9" s="8">
        <v>7.9883400069174992E-2</v>
      </c>
      <c r="E9" s="8">
        <v>9.6197058096808563E-3</v>
      </c>
      <c r="F9" s="8">
        <v>5.8950244284255125E-4</v>
      </c>
      <c r="G9" s="8">
        <v>1.477810456782049E-5</v>
      </c>
      <c r="H9" s="11">
        <f t="shared" si="0"/>
        <v>0.52749099639855956</v>
      </c>
      <c r="I9" s="12">
        <f t="shared" si="1"/>
        <v>0.42654056496322379</v>
      </c>
      <c r="J9" s="5">
        <f t="shared" si="2"/>
        <v>1</v>
      </c>
    </row>
    <row r="10" spans="1:10" x14ac:dyDescent="0.25">
      <c r="A10" s="7">
        <v>5</v>
      </c>
      <c r="B10" s="8">
        <v>0.2189529451646392</v>
      </c>
      <c r="C10" s="8">
        <v>0.38532945084569242</v>
      </c>
      <c r="D10" s="8">
        <v>0.27533903671763521</v>
      </c>
      <c r="E10" s="8">
        <v>0.1002374766468986</v>
      </c>
      <c r="F10" s="8">
        <v>1.8697916350933499E-2</v>
      </c>
      <c r="G10" s="8">
        <v>1.4431742742012201E-3</v>
      </c>
      <c r="H10" s="11">
        <f t="shared" si="0"/>
        <v>1.3187274909963989</v>
      </c>
      <c r="I10" s="12">
        <f t="shared" si="1"/>
        <v>0.78104705483536074</v>
      </c>
      <c r="J10" s="5">
        <f t="shared" si="2"/>
        <v>1.0000000000000002</v>
      </c>
    </row>
    <row r="11" spans="1:10" x14ac:dyDescent="0.25">
      <c r="A11" s="7">
        <v>6</v>
      </c>
      <c r="B11" s="8">
        <v>6.4810764168248144E-2</v>
      </c>
      <c r="C11" s="8">
        <v>0.2319213219410394</v>
      </c>
      <c r="D11" s="8">
        <v>0.33804517197023382</v>
      </c>
      <c r="E11" s="8">
        <v>0.25225114680697402</v>
      </c>
      <c r="F11" s="8">
        <v>9.7212670897052753E-2</v>
      </c>
      <c r="G11" s="8">
        <v>1.575892421645201E-2</v>
      </c>
      <c r="H11" s="11">
        <f t="shared" si="0"/>
        <v>2.1324104109729003</v>
      </c>
      <c r="I11" s="12">
        <f t="shared" si="1"/>
        <v>0.93518923583175184</v>
      </c>
      <c r="J11" s="5">
        <f t="shared" si="2"/>
        <v>1.0000000000000002</v>
      </c>
    </row>
    <row r="12" spans="1:10" x14ac:dyDescent="0.25">
      <c r="A12" s="7">
        <v>7</v>
      </c>
      <c r="B12" s="8">
        <v>1.6435238544254611E-2</v>
      </c>
      <c r="C12" s="8">
        <v>0.1016308789431524</v>
      </c>
      <c r="D12" s="8">
        <v>0.25675271048725562</v>
      </c>
      <c r="E12" s="8">
        <v>0.33369906768080432</v>
      </c>
      <c r="F12" s="8">
        <v>0.22575380476498749</v>
      </c>
      <c r="G12" s="8">
        <v>6.572829957954554E-2</v>
      </c>
      <c r="H12" s="11">
        <f t="shared" si="0"/>
        <v>2.8478902199177543</v>
      </c>
      <c r="I12" s="12">
        <f t="shared" si="1"/>
        <v>0.98356476145574534</v>
      </c>
      <c r="J12" s="5">
        <f t="shared" si="2"/>
        <v>1</v>
      </c>
    </row>
    <row r="13" spans="1:10" x14ac:dyDescent="0.25">
      <c r="A13" s="7">
        <v>8</v>
      </c>
      <c r="B13" s="8">
        <v>3.7969396182427439E-3</v>
      </c>
      <c r="C13" s="8">
        <v>3.7205043703893097E-2</v>
      </c>
      <c r="D13" s="8">
        <v>0.14934256170200061</v>
      </c>
      <c r="E13" s="8">
        <v>0.30997700771070918</v>
      </c>
      <c r="F13" s="8">
        <v>0.33706717491064497</v>
      </c>
      <c r="G13" s="8">
        <v>0.1626112723545094</v>
      </c>
      <c r="H13" s="11">
        <f t="shared" si="0"/>
        <v>3.4271462516551487</v>
      </c>
      <c r="I13" s="12">
        <f t="shared" si="1"/>
        <v>0.99620306038175721</v>
      </c>
      <c r="J13" s="5">
        <f t="shared" si="2"/>
        <v>1</v>
      </c>
    </row>
    <row r="14" spans="1:10" x14ac:dyDescent="0.25">
      <c r="A14" s="7">
        <v>9</v>
      </c>
      <c r="B14" s="8">
        <v>8.2977778680675622E-4</v>
      </c>
      <c r="C14" s="8">
        <v>1.2226461431016579E-2</v>
      </c>
      <c r="D14" s="8">
        <v>7.40241432120885E-2</v>
      </c>
      <c r="E14" s="8">
        <v>0.2329261126799437</v>
      </c>
      <c r="F14" s="8">
        <v>0.38554833521923021</v>
      </c>
      <c r="G14" s="8">
        <v>0.29444516967091428</v>
      </c>
      <c r="H14" s="11">
        <f t="shared" si="0"/>
        <v>3.8734722751265167</v>
      </c>
      <c r="I14" s="12">
        <f t="shared" si="1"/>
        <v>0.99917022221319329</v>
      </c>
      <c r="J14" s="5">
        <f t="shared" si="2"/>
        <v>1</v>
      </c>
    </row>
    <row r="15" spans="1:10" x14ac:dyDescent="0.25">
      <c r="A15" s="7">
        <v>10</v>
      </c>
      <c r="B15" s="8">
        <v>1.7560381060951059E-4</v>
      </c>
      <c r="C15" s="8">
        <v>3.7564909290791941E-3</v>
      </c>
      <c r="D15" s="8">
        <v>3.3211910650482512E-2</v>
      </c>
      <c r="E15" s="8">
        <v>0.15311151362321099</v>
      </c>
      <c r="F15" s="8">
        <v>0.37188721807056441</v>
      </c>
      <c r="G15" s="8">
        <v>0.43785726291605342</v>
      </c>
      <c r="H15" s="11">
        <f t="shared" si="0"/>
        <v>4.206350039962202</v>
      </c>
      <c r="I15" s="12">
        <f t="shared" si="1"/>
        <v>0.99982439618939045</v>
      </c>
      <c r="J15" s="5">
        <f t="shared" si="2"/>
        <v>1</v>
      </c>
    </row>
    <row r="17" spans="1:10" x14ac:dyDescent="0.25">
      <c r="A17" s="10" t="s">
        <v>24</v>
      </c>
    </row>
    <row r="18" spans="1:10" x14ac:dyDescent="0.25">
      <c r="A18" s="3" t="s">
        <v>2</v>
      </c>
      <c r="B18" s="3" t="s">
        <v>19</v>
      </c>
      <c r="C18" s="3" t="s">
        <v>20</v>
      </c>
      <c r="D18" s="3" t="s">
        <v>21</v>
      </c>
      <c r="E18" s="3" t="s">
        <v>3</v>
      </c>
      <c r="F18" s="3" t="s">
        <v>4</v>
      </c>
      <c r="G18" s="3" t="s">
        <v>5</v>
      </c>
      <c r="H18" s="3" t="s">
        <v>22</v>
      </c>
      <c r="I18" s="3" t="s">
        <v>23</v>
      </c>
      <c r="J18" s="3" t="s">
        <v>15</v>
      </c>
    </row>
    <row r="19" spans="1:10" x14ac:dyDescent="0.25">
      <c r="A19" s="7">
        <v>1</v>
      </c>
      <c r="B19" s="8">
        <v>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11">
        <f t="shared" ref="H19:H28" si="3">1*C19+2*D19+3*E19+4*F19+5*G19</f>
        <v>0</v>
      </c>
      <c r="I19" s="12">
        <f t="shared" ref="I19:I28" si="4">1-B19</f>
        <v>0</v>
      </c>
      <c r="J19" s="5">
        <f t="shared" ref="J19:J28" si="5">SUM(B19:G19)</f>
        <v>1</v>
      </c>
    </row>
    <row r="20" spans="1:10" x14ac:dyDescent="0.25">
      <c r="A20" s="7">
        <v>2</v>
      </c>
      <c r="B20" s="8">
        <v>1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11">
        <f t="shared" si="3"/>
        <v>0</v>
      </c>
      <c r="I20" s="12">
        <f t="shared" si="4"/>
        <v>0</v>
      </c>
      <c r="J20" s="5">
        <f t="shared" si="5"/>
        <v>1</v>
      </c>
    </row>
    <row r="21" spans="1:10" x14ac:dyDescent="0.25">
      <c r="A21" s="7">
        <v>3</v>
      </c>
      <c r="B21" s="8">
        <v>8.0086167389064253E-2</v>
      </c>
      <c r="C21" s="8">
        <v>0.26179909346395869</v>
      </c>
      <c r="D21" s="8">
        <v>0.34423440299885327</v>
      </c>
      <c r="E21" s="8">
        <v>0.22776234121321209</v>
      </c>
      <c r="F21" s="8">
        <v>7.5909603658213087E-2</v>
      </c>
      <c r="G21" s="8">
        <v>1.020839127669868E-2</v>
      </c>
      <c r="H21" s="11">
        <f t="shared" si="3"/>
        <v>1.9882352941176471</v>
      </c>
      <c r="I21" s="12">
        <f t="shared" si="4"/>
        <v>0.91991383261093573</v>
      </c>
      <c r="J21" s="5">
        <f t="shared" si="5"/>
        <v>1.0000000000000002</v>
      </c>
    </row>
    <row r="22" spans="1:10" x14ac:dyDescent="0.25">
      <c r="A22" s="7">
        <v>4</v>
      </c>
      <c r="B22" s="8">
        <v>1.2625190122681689E-2</v>
      </c>
      <c r="C22" s="8">
        <v>8.7738276213457159E-2</v>
      </c>
      <c r="D22" s="8">
        <v>0.24496140409942449</v>
      </c>
      <c r="E22" s="8">
        <v>0.34362154963575658</v>
      </c>
      <c r="F22" s="8">
        <v>0.2423050375248007</v>
      </c>
      <c r="G22" s="8">
        <v>6.8748542403879218E-2</v>
      </c>
      <c r="H22" s="11">
        <f t="shared" si="3"/>
        <v>2.9214885954381749</v>
      </c>
      <c r="I22" s="12">
        <f t="shared" si="4"/>
        <v>0.98737480987731829</v>
      </c>
      <c r="J22" s="5">
        <f t="shared" si="5"/>
        <v>0.99999999999999989</v>
      </c>
    </row>
    <row r="23" spans="1:10" x14ac:dyDescent="0.25">
      <c r="A23" s="7">
        <v>5</v>
      </c>
      <c r="B23" s="8">
        <v>1.1805618747933649E-2</v>
      </c>
      <c r="C23" s="8">
        <v>8.4437029075412395E-2</v>
      </c>
      <c r="D23" s="8">
        <v>0.24148187214177039</v>
      </c>
      <c r="E23" s="8">
        <v>0.34518651480944512</v>
      </c>
      <c r="F23" s="8">
        <v>0.24662843323020711</v>
      </c>
      <c r="G23" s="8">
        <v>7.0460531995231404E-2</v>
      </c>
      <c r="H23" s="11">
        <f t="shared" si="3"/>
        <v>2.941776710684274</v>
      </c>
      <c r="I23" s="12">
        <f t="shared" si="4"/>
        <v>0.98819438125206638</v>
      </c>
      <c r="J23" s="5">
        <f t="shared" si="5"/>
        <v>1</v>
      </c>
    </row>
    <row r="24" spans="1:10" x14ac:dyDescent="0.25">
      <c r="A24" s="7">
        <v>6</v>
      </c>
      <c r="B24" s="8">
        <v>2.992456184506118E-2</v>
      </c>
      <c r="C24" s="8">
        <v>0.15083877448019181</v>
      </c>
      <c r="D24" s="8">
        <v>0.30726665314190049</v>
      </c>
      <c r="E24" s="8">
        <v>0.31535223820237002</v>
      </c>
      <c r="F24" s="8">
        <v>0.16281987152630811</v>
      </c>
      <c r="G24" s="8">
        <v>3.3797900804168557E-2</v>
      </c>
      <c r="H24" s="11">
        <f t="shared" si="3"/>
        <v>2.5316977854971778</v>
      </c>
      <c r="I24" s="12">
        <f t="shared" si="4"/>
        <v>0.9700754381549388</v>
      </c>
      <c r="J24" s="5">
        <f t="shared" si="5"/>
        <v>1</v>
      </c>
    </row>
    <row r="25" spans="1:10" x14ac:dyDescent="0.25">
      <c r="A25" s="7">
        <v>7</v>
      </c>
      <c r="B25" s="8">
        <v>8.0670751103465027E-2</v>
      </c>
      <c r="C25" s="8">
        <v>0.25705718897420049</v>
      </c>
      <c r="D25" s="8">
        <v>0.34061612323011969</v>
      </c>
      <c r="E25" s="8">
        <v>0.2309189510399402</v>
      </c>
      <c r="F25" s="8">
        <v>7.9614183878499195E-2</v>
      </c>
      <c r="G25" s="8">
        <v>1.1122801773775349E-2</v>
      </c>
      <c r="H25" s="11">
        <f t="shared" si="3"/>
        <v>2.0051170329371337</v>
      </c>
      <c r="I25" s="12">
        <f t="shared" si="4"/>
        <v>0.919329248896535</v>
      </c>
      <c r="J25" s="5">
        <f t="shared" si="5"/>
        <v>0.99999999999999989</v>
      </c>
    </row>
    <row r="26" spans="1:10" x14ac:dyDescent="0.25">
      <c r="A26" s="7">
        <v>8</v>
      </c>
      <c r="B26" s="8">
        <v>0.17420502450027839</v>
      </c>
      <c r="C26" s="8">
        <v>0.35014215382020902</v>
      </c>
      <c r="D26" s="8">
        <v>0.30408549881733682</v>
      </c>
      <c r="E26" s="8">
        <v>0.13692468387910639</v>
      </c>
      <c r="F26" s="8">
        <v>3.1658472412148593E-2</v>
      </c>
      <c r="G26" s="8">
        <v>2.9841665709207819E-3</v>
      </c>
      <c r="H26" s="11">
        <f t="shared" si="3"/>
        <v>1.5106419255954</v>
      </c>
      <c r="I26" s="12">
        <f t="shared" si="4"/>
        <v>0.82579497549972158</v>
      </c>
      <c r="J26" s="5">
        <f t="shared" si="5"/>
        <v>1</v>
      </c>
    </row>
    <row r="27" spans="1:10" x14ac:dyDescent="0.25">
      <c r="A27" s="7">
        <v>9</v>
      </c>
      <c r="B27" s="8">
        <v>0.3015681690778777</v>
      </c>
      <c r="C27" s="8">
        <v>0.38951885631252992</v>
      </c>
      <c r="D27" s="8">
        <v>0.2276309734615399</v>
      </c>
      <c r="E27" s="8">
        <v>6.9564667491361976E-2</v>
      </c>
      <c r="F27" s="8">
        <v>1.1004251844344091E-2</v>
      </c>
      <c r="G27" s="8">
        <v>7.130818123463709E-4</v>
      </c>
      <c r="H27" s="11">
        <f t="shared" si="3"/>
        <v>1.101057222148804</v>
      </c>
      <c r="I27" s="12">
        <f t="shared" si="4"/>
        <v>0.69843183092212224</v>
      </c>
      <c r="J27" s="5">
        <f t="shared" si="5"/>
        <v>1</v>
      </c>
    </row>
    <row r="28" spans="1:10" x14ac:dyDescent="0.25">
      <c r="A28" s="7">
        <v>10</v>
      </c>
      <c r="B28" s="8">
        <v>0.44154960214816541</v>
      </c>
      <c r="C28" s="8">
        <v>0.37264823194900532</v>
      </c>
      <c r="D28" s="8">
        <v>0.15030379249908271</v>
      </c>
      <c r="E28" s="8">
        <v>3.1830841789358313E-2</v>
      </c>
      <c r="F28" s="8">
        <v>3.5081241707629841E-3</v>
      </c>
      <c r="G28" s="8">
        <v>1.5940744362540819E-4</v>
      </c>
      <c r="H28" s="11">
        <f t="shared" si="3"/>
        <v>0.78357787621642472</v>
      </c>
      <c r="I28" s="12">
        <f t="shared" si="4"/>
        <v>0.55845039785183459</v>
      </c>
      <c r="J28" s="5">
        <f t="shared" si="5"/>
        <v>1</v>
      </c>
    </row>
    <row r="30" spans="1:10" x14ac:dyDescent="0.25">
      <c r="A30" s="10" t="s">
        <v>25</v>
      </c>
    </row>
    <row r="31" spans="1:10" x14ac:dyDescent="0.25">
      <c r="A31" s="3" t="s">
        <v>2</v>
      </c>
      <c r="B31" s="3" t="s">
        <v>19</v>
      </c>
      <c r="C31" s="3" t="s">
        <v>20</v>
      </c>
      <c r="D31" s="3" t="s">
        <v>21</v>
      </c>
      <c r="E31" s="3" t="s">
        <v>3</v>
      </c>
      <c r="F31" s="3" t="s">
        <v>4</v>
      </c>
      <c r="G31" s="3" t="s">
        <v>5</v>
      </c>
      <c r="H31" s="3" t="s">
        <v>22</v>
      </c>
      <c r="I31" s="3" t="s">
        <v>23</v>
      </c>
      <c r="J31" s="3" t="s">
        <v>15</v>
      </c>
    </row>
    <row r="32" spans="1:10" x14ac:dyDescent="0.25">
      <c r="A32" s="7">
        <v>1</v>
      </c>
      <c r="B32" s="8">
        <v>1</v>
      </c>
      <c r="C32" s="8">
        <v>0</v>
      </c>
      <c r="D32" s="8">
        <v>0</v>
      </c>
      <c r="E32" s="8">
        <v>0</v>
      </c>
      <c r="F32" s="8">
        <v>0</v>
      </c>
      <c r="G32" s="8">
        <v>0</v>
      </c>
      <c r="H32" s="11">
        <f t="shared" ref="H32:H41" si="6">1*C32+2*D32+3*E32+4*F32+5*G32</f>
        <v>0</v>
      </c>
      <c r="I32" s="12">
        <f t="shared" ref="I32:I41" si="7">1-B32</f>
        <v>0</v>
      </c>
      <c r="J32" s="5">
        <f t="shared" ref="J32:J41" si="8">SUM(B32:G32)</f>
        <v>1</v>
      </c>
    </row>
    <row r="33" spans="1:10" x14ac:dyDescent="0.25">
      <c r="A33" s="7">
        <v>2</v>
      </c>
      <c r="B33" s="8">
        <v>7.3897080291574922E-4</v>
      </c>
      <c r="C33" s="8">
        <v>1.18624364316645E-2</v>
      </c>
      <c r="D33" s="8">
        <v>7.6436886567547865E-2</v>
      </c>
      <c r="E33" s="8">
        <v>0.24722705449453841</v>
      </c>
      <c r="F33" s="8">
        <v>0.40156121980233689</v>
      </c>
      <c r="G33" s="8">
        <v>0.26217343190099651</v>
      </c>
      <c r="H33" s="11">
        <f t="shared" si="6"/>
        <v>3.8235294117647056</v>
      </c>
      <c r="I33" s="12">
        <f t="shared" si="7"/>
        <v>0.99926102919708426</v>
      </c>
      <c r="J33" s="5">
        <f t="shared" si="8"/>
        <v>1</v>
      </c>
    </row>
    <row r="34" spans="1:10" x14ac:dyDescent="0.25">
      <c r="A34" s="7">
        <v>3</v>
      </c>
      <c r="B34" s="8">
        <v>1.8446315113006491E-2</v>
      </c>
      <c r="C34" s="8">
        <v>0.1124743554311894</v>
      </c>
      <c r="D34" s="8">
        <v>0.27494629142650501</v>
      </c>
      <c r="E34" s="8">
        <v>0.33674530577176948</v>
      </c>
      <c r="F34" s="8">
        <v>0.20660034041656741</v>
      </c>
      <c r="G34" s="8">
        <v>5.0787391840962072E-2</v>
      </c>
      <c r="H34" s="11">
        <f t="shared" si="6"/>
        <v>2.7529411764705878</v>
      </c>
      <c r="I34" s="12">
        <f t="shared" si="7"/>
        <v>0.98155368488699346</v>
      </c>
      <c r="J34" s="5">
        <f t="shared" si="8"/>
        <v>0.99999999999999989</v>
      </c>
    </row>
    <row r="35" spans="1:10" x14ac:dyDescent="0.25">
      <c r="A35" s="7">
        <v>4</v>
      </c>
      <c r="B35" s="8">
        <v>0.1707707087383033</v>
      </c>
      <c r="C35" s="8">
        <v>0.35859211048266187</v>
      </c>
      <c r="D35" s="8">
        <v>0.30642924088062601</v>
      </c>
      <c r="E35" s="8">
        <v>0.13264212040025741</v>
      </c>
      <c r="F35" s="8">
        <v>2.9006771223558509E-2</v>
      </c>
      <c r="G35" s="8">
        <v>2.5590482745929651E-3</v>
      </c>
      <c r="H35" s="11">
        <f t="shared" si="6"/>
        <v>1.4981992797118848</v>
      </c>
      <c r="I35" s="12">
        <f t="shared" si="7"/>
        <v>0.82922929126169675</v>
      </c>
      <c r="J35" s="5">
        <f t="shared" si="8"/>
        <v>1</v>
      </c>
    </row>
    <row r="36" spans="1:10" x14ac:dyDescent="0.25">
      <c r="A36" s="7">
        <v>5</v>
      </c>
      <c r="B36" s="8">
        <v>0.45851230758570499</v>
      </c>
      <c r="C36" s="8">
        <v>0.38195463375371658</v>
      </c>
      <c r="D36" s="8">
        <v>0.13331837193210649</v>
      </c>
      <c r="E36" s="8">
        <v>2.3939930767461679E-2</v>
      </c>
      <c r="F36" s="8">
        <v>2.1931129906705041E-3</v>
      </c>
      <c r="G36" s="8">
        <v>8.1642970339389868E-5</v>
      </c>
      <c r="H36" s="11">
        <f t="shared" si="6"/>
        <v>0.72959183673469352</v>
      </c>
      <c r="I36" s="12">
        <f t="shared" si="7"/>
        <v>0.54148769241429506</v>
      </c>
      <c r="J36" s="5">
        <f t="shared" si="8"/>
        <v>0.99999999999999967</v>
      </c>
    </row>
    <row r="37" spans="1:10" x14ac:dyDescent="0.25">
      <c r="A37" s="7">
        <v>6</v>
      </c>
      <c r="B37" s="8">
        <v>0.71060061154536458</v>
      </c>
      <c r="C37" s="8">
        <v>0.24794000460529969</v>
      </c>
      <c r="D37" s="8">
        <v>3.8244493387310667E-2</v>
      </c>
      <c r="E37" s="8">
        <v>3.0847097554602869E-3</v>
      </c>
      <c r="F37" s="8">
        <v>1.2800134445936919E-4</v>
      </c>
      <c r="G37" s="8">
        <v>2.1793621052608208E-6</v>
      </c>
      <c r="H37" s="11">
        <f t="shared" si="6"/>
        <v>0.33420602283466566</v>
      </c>
      <c r="I37" s="12">
        <f t="shared" si="7"/>
        <v>0.28939938845463542</v>
      </c>
      <c r="J37" s="5">
        <f t="shared" si="8"/>
        <v>0.99999999999999967</v>
      </c>
    </row>
    <row r="38" spans="1:10" x14ac:dyDescent="0.25">
      <c r="A38" s="7">
        <v>7</v>
      </c>
      <c r="B38" s="8">
        <v>0.86309609555730027</v>
      </c>
      <c r="C38" s="8">
        <v>0.12742843937981629</v>
      </c>
      <c r="D38" s="8">
        <v>9.125422646465025E-3</v>
      </c>
      <c r="E38" s="8">
        <v>3.4329362129291229E-4</v>
      </c>
      <c r="F38" s="8">
        <v>6.6942120715902063E-6</v>
      </c>
      <c r="G38" s="8">
        <v>5.4583053942671067E-8</v>
      </c>
      <c r="H38" s="11">
        <f t="shared" si="6"/>
        <v>0.14673621530018116</v>
      </c>
      <c r="I38" s="12">
        <f t="shared" si="7"/>
        <v>0.13690390444269973</v>
      </c>
      <c r="J38" s="5">
        <f t="shared" si="8"/>
        <v>1</v>
      </c>
    </row>
    <row r="39" spans="1:10" x14ac:dyDescent="0.25">
      <c r="A39" s="7">
        <v>8</v>
      </c>
      <c r="B39" s="8">
        <v>0.93991455195044726</v>
      </c>
      <c r="C39" s="8">
        <v>5.802970566831344E-2</v>
      </c>
      <c r="D39" s="8">
        <v>2.0196527425024222E-3</v>
      </c>
      <c r="E39" s="8">
        <v>3.575255524237195E-5</v>
      </c>
      <c r="F39" s="8">
        <v>3.3573305715829047E-7</v>
      </c>
      <c r="G39" s="8">
        <v>1.350437310286751E-9</v>
      </c>
      <c r="H39" s="11">
        <f t="shared" si="6"/>
        <v>6.217761850346059E-2</v>
      </c>
      <c r="I39" s="12">
        <f t="shared" si="7"/>
        <v>6.0085448049552737E-2</v>
      </c>
      <c r="J39" s="5">
        <f t="shared" si="8"/>
        <v>0.99999999999999989</v>
      </c>
    </row>
    <row r="40" spans="1:10" x14ac:dyDescent="0.25">
      <c r="A40" s="7">
        <v>9</v>
      </c>
      <c r="B40" s="8">
        <v>0.97497965034521017</v>
      </c>
      <c r="C40" s="8">
        <v>2.4577703725393651E-2</v>
      </c>
      <c r="D40" s="8">
        <v>4.3904260813840162E-4</v>
      </c>
      <c r="E40" s="8">
        <v>3.586381780994659E-6</v>
      </c>
      <c r="F40" s="8">
        <v>1.6905853347886231E-8</v>
      </c>
      <c r="G40" s="8">
        <v>3.3623400105408079E-11</v>
      </c>
      <c r="H40" s="11">
        <f t="shared" si="6"/>
        <v>2.5466615878543829E-2</v>
      </c>
      <c r="I40" s="12">
        <f t="shared" si="7"/>
        <v>2.5020349654789831E-2</v>
      </c>
      <c r="J40" s="5">
        <f t="shared" si="8"/>
        <v>1</v>
      </c>
    </row>
    <row r="41" spans="1:10" x14ac:dyDescent="0.25">
      <c r="A41" s="7">
        <v>10</v>
      </c>
      <c r="B41" s="8">
        <v>0.99002591491423986</v>
      </c>
      <c r="C41" s="8">
        <v>9.8767984793663201E-3</v>
      </c>
      <c r="D41" s="8">
        <v>9.6936944022442609E-5</v>
      </c>
      <c r="E41" s="8">
        <v>3.487634472412412E-7</v>
      </c>
      <c r="F41" s="8">
        <v>8.9808204663290393E-10</v>
      </c>
      <c r="G41" s="8">
        <v>8.4202052181787645E-13</v>
      </c>
      <c r="H41" s="11">
        <f t="shared" si="6"/>
        <v>1.0071722254291218E-2</v>
      </c>
      <c r="I41" s="12">
        <f t="shared" si="7"/>
        <v>9.9740850857601426E-3</v>
      </c>
      <c r="J41" s="5">
        <f t="shared" si="8"/>
        <v>0.99999999999999989</v>
      </c>
    </row>
    <row r="43" spans="1:10" x14ac:dyDescent="0.25">
      <c r="A43" s="10" t="s">
        <v>26</v>
      </c>
    </row>
    <row r="44" spans="1:10" x14ac:dyDescent="0.25">
      <c r="A44" s="3" t="s">
        <v>2</v>
      </c>
      <c r="B44" s="3" t="s">
        <v>19</v>
      </c>
      <c r="C44" s="3" t="s">
        <v>20</v>
      </c>
      <c r="D44" s="3" t="s">
        <v>21</v>
      </c>
      <c r="E44" s="3" t="s">
        <v>3</v>
      </c>
      <c r="F44" s="3" t="s">
        <v>4</v>
      </c>
      <c r="G44" s="3" t="s">
        <v>5</v>
      </c>
      <c r="H44" s="3" t="s">
        <v>22</v>
      </c>
      <c r="I44" s="3" t="s">
        <v>23</v>
      </c>
      <c r="J44" s="3" t="s">
        <v>15</v>
      </c>
    </row>
    <row r="45" spans="1:10" x14ac:dyDescent="0.25">
      <c r="A45" s="7">
        <v>1</v>
      </c>
      <c r="B45" s="8">
        <v>0</v>
      </c>
      <c r="C45" s="8">
        <v>0</v>
      </c>
      <c r="D45" s="8">
        <v>0</v>
      </c>
      <c r="E45" s="8">
        <v>0</v>
      </c>
      <c r="F45" s="8">
        <v>0</v>
      </c>
      <c r="G45" s="8">
        <v>1</v>
      </c>
      <c r="H45" s="11">
        <f t="shared" ref="H45:H54" si="9">1*C45+2*D45+3*E45+4*F45+5*G45</f>
        <v>5</v>
      </c>
      <c r="I45" s="12">
        <f t="shared" ref="I45:I54" si="10">1-B45</f>
        <v>1</v>
      </c>
      <c r="J45" s="5">
        <f t="shared" ref="J45:J54" si="11">SUM(B45:G45)</f>
        <v>1</v>
      </c>
    </row>
    <row r="46" spans="1:10" x14ac:dyDescent="0.25">
      <c r="A46" s="7">
        <v>2</v>
      </c>
      <c r="B46" s="8">
        <v>0.26217343190099651</v>
      </c>
      <c r="C46" s="8">
        <v>0.40156121980233689</v>
      </c>
      <c r="D46" s="8">
        <v>0.24722705449453841</v>
      </c>
      <c r="E46" s="8">
        <v>7.6436886567547865E-2</v>
      </c>
      <c r="F46" s="8">
        <v>1.18624364316645E-2</v>
      </c>
      <c r="G46" s="8">
        <v>7.3897080291574922E-4</v>
      </c>
      <c r="H46" s="11">
        <f t="shared" si="9"/>
        <v>1.1764705882352939</v>
      </c>
      <c r="I46" s="12">
        <f t="shared" si="10"/>
        <v>0.73782656809900349</v>
      </c>
      <c r="J46" s="5">
        <f t="shared" si="11"/>
        <v>0.99999999999999989</v>
      </c>
    </row>
    <row r="47" spans="1:10" x14ac:dyDescent="0.25">
      <c r="A47" s="7">
        <v>3</v>
      </c>
      <c r="B47" s="8">
        <v>0.76720728640135638</v>
      </c>
      <c r="C47" s="8">
        <v>0.20816933111059541</v>
      </c>
      <c r="D47" s="8">
        <v>2.325547079202802E-2</v>
      </c>
      <c r="E47" s="8">
        <v>1.328844632407517E-3</v>
      </c>
      <c r="F47" s="8">
        <v>3.8612498172825531E-5</v>
      </c>
      <c r="G47" s="8">
        <v>4.5456543987334528E-7</v>
      </c>
      <c r="H47" s="11">
        <f t="shared" si="9"/>
        <v>0.25882352941176467</v>
      </c>
      <c r="I47" s="12">
        <f t="shared" si="10"/>
        <v>0.23279271359864362</v>
      </c>
      <c r="J47" s="5">
        <f t="shared" si="11"/>
        <v>1.0000000000000002</v>
      </c>
    </row>
    <row r="48" spans="1:10" x14ac:dyDescent="0.25">
      <c r="A48" s="7">
        <v>4</v>
      </c>
      <c r="B48" s="8">
        <v>0.94839644110965216</v>
      </c>
      <c r="C48" s="8">
        <v>5.0401300837357062E-2</v>
      </c>
      <c r="D48" s="8">
        <v>1.1870468440304701E-3</v>
      </c>
      <c r="E48" s="8">
        <v>1.5111171006909079E-5</v>
      </c>
      <c r="F48" s="8">
        <v>9.9776825191062053E-8</v>
      </c>
      <c r="G48" s="8">
        <v>2.6112821181029712E-10</v>
      </c>
      <c r="H48" s="11">
        <f t="shared" si="9"/>
        <v>5.2821128451380553E-2</v>
      </c>
      <c r="I48" s="12">
        <f t="shared" si="10"/>
        <v>5.1603558890347845E-2</v>
      </c>
      <c r="J48" s="5">
        <f t="shared" si="11"/>
        <v>1</v>
      </c>
    </row>
    <row r="49" spans="1:10" x14ac:dyDescent="0.25">
      <c r="A49" s="7">
        <v>5</v>
      </c>
      <c r="B49" s="8">
        <v>0.99014645864073214</v>
      </c>
      <c r="C49" s="8">
        <v>9.8032812795104188E-3</v>
      </c>
      <c r="D49" s="8">
        <v>5.0100215241359592E-5</v>
      </c>
      <c r="E49" s="8">
        <v>1.5958355530613241E-7</v>
      </c>
      <c r="F49" s="8">
        <v>2.8082876048815429E-10</v>
      </c>
      <c r="G49" s="8">
        <v>1.3195109337217769E-13</v>
      </c>
      <c r="H49" s="11">
        <f t="shared" si="9"/>
        <v>9.9039615846338528E-3</v>
      </c>
      <c r="I49" s="12">
        <f t="shared" si="10"/>
        <v>9.8535413592678589E-3</v>
      </c>
      <c r="J49" s="5">
        <f t="shared" si="11"/>
        <v>1</v>
      </c>
    </row>
    <row r="50" spans="1:10" x14ac:dyDescent="0.25">
      <c r="A50" s="7">
        <v>6</v>
      </c>
      <c r="B50" s="8">
        <v>0.99831607316729409</v>
      </c>
      <c r="C50" s="8">
        <v>1.6820746349527911E-3</v>
      </c>
      <c r="D50" s="8">
        <v>1.8505340380261389E-6</v>
      </c>
      <c r="E50" s="8">
        <v>1.6626323364253121E-9</v>
      </c>
      <c r="F50" s="8">
        <v>1.082693952358942E-12</v>
      </c>
      <c r="G50" s="8">
        <v>3.9519223012473328E-17</v>
      </c>
      <c r="H50" s="11">
        <f t="shared" si="9"/>
        <v>1.6857806952568259E-3</v>
      </c>
      <c r="I50" s="12">
        <f t="shared" si="10"/>
        <v>1.6839268327059065E-3</v>
      </c>
      <c r="J50" s="5">
        <f t="shared" si="11"/>
        <v>1</v>
      </c>
    </row>
    <row r="51" spans="1:10" x14ac:dyDescent="0.25">
      <c r="A51" s="7">
        <v>7</v>
      </c>
      <c r="B51" s="8">
        <v>0.99974352634272845</v>
      </c>
      <c r="C51" s="8">
        <v>2.5641548543085178E-4</v>
      </c>
      <c r="D51" s="8">
        <v>5.8156028314159263E-8</v>
      </c>
      <c r="E51" s="8">
        <v>1.5807416150391438E-11</v>
      </c>
      <c r="F51" s="8">
        <v>5.1645181001323473E-15</v>
      </c>
      <c r="G51" s="8">
        <v>0</v>
      </c>
      <c r="H51" s="11">
        <f t="shared" si="9"/>
        <v>2.5653184493038662E-4</v>
      </c>
      <c r="I51" s="12">
        <f t="shared" si="10"/>
        <v>2.564736572715498E-4</v>
      </c>
      <c r="J51" s="5">
        <f t="shared" si="11"/>
        <v>1.0000000000000002</v>
      </c>
    </row>
    <row r="52" spans="1:10" x14ac:dyDescent="0.25">
      <c r="A52" s="7">
        <v>8</v>
      </c>
      <c r="B52" s="8">
        <v>0.99996579724415657</v>
      </c>
      <c r="C52" s="8">
        <v>3.4201265822779018E-5</v>
      </c>
      <c r="D52" s="8">
        <v>1.489893926424187E-9</v>
      </c>
      <c r="E52" s="8">
        <v>1.2666046254158569E-13</v>
      </c>
      <c r="F52" s="8">
        <v>2.624543359751051E-17</v>
      </c>
      <c r="G52" s="8">
        <v>0</v>
      </c>
      <c r="H52" s="11">
        <f t="shared" si="9"/>
        <v>3.4204245990718239E-5</v>
      </c>
      <c r="I52" s="12">
        <f t="shared" si="10"/>
        <v>3.420275584342658E-5</v>
      </c>
      <c r="J52" s="5">
        <f t="shared" si="11"/>
        <v>0.99999999999999989</v>
      </c>
    </row>
    <row r="53" spans="1:10" x14ac:dyDescent="0.25">
      <c r="A53" s="7">
        <v>9</v>
      </c>
      <c r="B53" s="8">
        <v>0.99999611318343284</v>
      </c>
      <c r="C53" s="8">
        <v>3.8867869998670396E-6</v>
      </c>
      <c r="D53" s="8">
        <v>2.9566512263752688E-11</v>
      </c>
      <c r="E53" s="8">
        <v>8.0558553103416949E-16</v>
      </c>
      <c r="F53" s="8">
        <v>1.410680770420026E-19</v>
      </c>
      <c r="G53" s="8">
        <v>0</v>
      </c>
      <c r="H53" s="11">
        <f t="shared" si="9"/>
        <v>3.8868461353088883E-6</v>
      </c>
      <c r="I53" s="12">
        <f t="shared" si="10"/>
        <v>3.8868165671557264E-6</v>
      </c>
      <c r="J53" s="5">
        <f t="shared" si="11"/>
        <v>1</v>
      </c>
    </row>
    <row r="54" spans="1:10" x14ac:dyDescent="0.25">
      <c r="A54" s="7">
        <v>10</v>
      </c>
      <c r="B54" s="8">
        <v>0.99999963843333939</v>
      </c>
      <c r="C54" s="8">
        <v>3.6156623904488988E-7</v>
      </c>
      <c r="D54" s="8">
        <v>4.2164910791886911E-13</v>
      </c>
      <c r="E54" s="8">
        <v>3.7353586641803251E-18</v>
      </c>
      <c r="F54" s="8">
        <v>8.2677261270038106E-22</v>
      </c>
      <c r="G54" s="8">
        <v>0</v>
      </c>
      <c r="H54" s="11">
        <f t="shared" si="9"/>
        <v>3.6156708235431508E-7</v>
      </c>
      <c r="I54" s="12">
        <f t="shared" si="10"/>
        <v>3.6156666061160081E-7</v>
      </c>
      <c r="J54" s="5">
        <f t="shared" si="11"/>
        <v>1</v>
      </c>
    </row>
    <row r="56" spans="1:10" x14ac:dyDescent="0.25">
      <c r="A56" s="10" t="s">
        <v>27</v>
      </c>
      <c r="D56" s="2" t="s">
        <v>28</v>
      </c>
    </row>
    <row r="57" spans="1:10" x14ac:dyDescent="0.25">
      <c r="A57" s="3" t="s">
        <v>2</v>
      </c>
      <c r="B57" s="3" t="s">
        <v>19</v>
      </c>
      <c r="C57" s="3" t="s">
        <v>20</v>
      </c>
      <c r="D57" s="3" t="s">
        <v>21</v>
      </c>
      <c r="E57" s="3" t="s">
        <v>3</v>
      </c>
      <c r="F57" s="3" t="s">
        <v>4</v>
      </c>
      <c r="G57" s="3" t="s">
        <v>5</v>
      </c>
      <c r="H57" s="3" t="s">
        <v>22</v>
      </c>
      <c r="I57" s="3" t="s">
        <v>23</v>
      </c>
      <c r="J57" s="3" t="s">
        <v>15</v>
      </c>
    </row>
    <row r="58" spans="1:10" x14ac:dyDescent="0.25">
      <c r="A58" s="7">
        <v>1</v>
      </c>
      <c r="B58" s="8">
        <v>0</v>
      </c>
      <c r="C58" s="8">
        <v>0</v>
      </c>
      <c r="D58" s="8">
        <v>0</v>
      </c>
      <c r="E58" s="8">
        <v>0</v>
      </c>
      <c r="F58" s="8">
        <v>0</v>
      </c>
      <c r="G58" s="8">
        <v>1</v>
      </c>
      <c r="H58" s="11">
        <f t="shared" ref="H58:H67" si="12">1*C58+2*D58+3*E58+4*F58+5*G58</f>
        <v>5</v>
      </c>
      <c r="I58" s="12">
        <f t="shared" ref="I58:I67" si="13">1-B58</f>
        <v>1</v>
      </c>
      <c r="J58" s="5">
        <f t="shared" ref="J58:J67" si="14">SUM(B58:G58)</f>
        <v>1</v>
      </c>
    </row>
    <row r="59" spans="1:10" x14ac:dyDescent="0.25">
      <c r="A59" s="7">
        <v>2</v>
      </c>
      <c r="B59" s="8">
        <v>0</v>
      </c>
      <c r="C59" s="8">
        <v>0</v>
      </c>
      <c r="D59" s="8">
        <v>0</v>
      </c>
      <c r="E59" s="8">
        <v>0</v>
      </c>
      <c r="F59" s="8">
        <v>0</v>
      </c>
      <c r="G59" s="8">
        <v>1</v>
      </c>
      <c r="H59" s="11">
        <f t="shared" si="12"/>
        <v>5</v>
      </c>
      <c r="I59" s="12">
        <f t="shared" si="13"/>
        <v>1</v>
      </c>
      <c r="J59" s="5">
        <f t="shared" si="14"/>
        <v>1</v>
      </c>
    </row>
    <row r="60" spans="1:10" x14ac:dyDescent="0.25">
      <c r="A60" s="7">
        <v>3</v>
      </c>
      <c r="B60" s="8">
        <v>0</v>
      </c>
      <c r="C60" s="8">
        <v>0</v>
      </c>
      <c r="D60" s="8">
        <v>0</v>
      </c>
      <c r="E60" s="8">
        <v>0</v>
      </c>
      <c r="F60" s="8">
        <v>0</v>
      </c>
      <c r="G60" s="8">
        <v>1</v>
      </c>
      <c r="H60" s="11">
        <f t="shared" si="12"/>
        <v>5</v>
      </c>
      <c r="I60" s="12">
        <f t="shared" si="13"/>
        <v>1</v>
      </c>
      <c r="J60" s="5">
        <f t="shared" si="14"/>
        <v>1</v>
      </c>
    </row>
    <row r="61" spans="1:10" x14ac:dyDescent="0.25">
      <c r="A61" s="7">
        <v>4</v>
      </c>
      <c r="B61" s="8">
        <v>1.477810456782049E-5</v>
      </c>
      <c r="C61" s="8">
        <v>5.8950244284255114E-4</v>
      </c>
      <c r="D61" s="8">
        <v>9.6197058096808563E-3</v>
      </c>
      <c r="E61" s="8">
        <v>7.9883400069174992E-2</v>
      </c>
      <c r="F61" s="8">
        <v>0.33643317853695759</v>
      </c>
      <c r="G61" s="8">
        <v>0.5734594350367761</v>
      </c>
      <c r="H61" s="11">
        <f t="shared" si="12"/>
        <v>4.4725090036014397</v>
      </c>
      <c r="I61" s="12">
        <f t="shared" si="13"/>
        <v>0.99998522189543215</v>
      </c>
      <c r="J61" s="5">
        <f t="shared" si="14"/>
        <v>0.99999999999999989</v>
      </c>
    </row>
    <row r="62" spans="1:10" x14ac:dyDescent="0.25">
      <c r="A62" s="7">
        <v>5</v>
      </c>
      <c r="B62" s="8">
        <v>1.4431742742012201E-3</v>
      </c>
      <c r="C62" s="8">
        <v>1.8697916350933499E-2</v>
      </c>
      <c r="D62" s="8">
        <v>0.1002374766468986</v>
      </c>
      <c r="E62" s="8">
        <v>0.27533903671763521</v>
      </c>
      <c r="F62" s="8">
        <v>0.38532945084569231</v>
      </c>
      <c r="G62" s="8">
        <v>0.2189529451646392</v>
      </c>
      <c r="H62" s="11">
        <f t="shared" si="12"/>
        <v>3.6812725090036018</v>
      </c>
      <c r="I62" s="12">
        <f t="shared" si="13"/>
        <v>0.99855682572579874</v>
      </c>
      <c r="J62" s="5">
        <f t="shared" si="14"/>
        <v>1</v>
      </c>
    </row>
    <row r="63" spans="1:10" x14ac:dyDescent="0.25">
      <c r="A63" s="7">
        <v>6</v>
      </c>
      <c r="B63" s="8">
        <v>1.575892421645201E-2</v>
      </c>
      <c r="C63" s="8">
        <v>9.7212670897052753E-2</v>
      </c>
      <c r="D63" s="8">
        <v>0.25225114680697402</v>
      </c>
      <c r="E63" s="8">
        <v>0.33804517197023382</v>
      </c>
      <c r="F63" s="8">
        <v>0.2319213219410394</v>
      </c>
      <c r="G63" s="8">
        <v>6.4810764168248144E-2</v>
      </c>
      <c r="H63" s="11">
        <f t="shared" si="12"/>
        <v>2.867589589027101</v>
      </c>
      <c r="I63" s="12">
        <f t="shared" si="13"/>
        <v>0.98424107578354803</v>
      </c>
      <c r="J63" s="5">
        <f t="shared" si="14"/>
        <v>1</v>
      </c>
    </row>
    <row r="64" spans="1:10" x14ac:dyDescent="0.25">
      <c r="A64" s="7">
        <v>7</v>
      </c>
      <c r="B64" s="8">
        <v>6.5728299579545554E-2</v>
      </c>
      <c r="C64" s="8">
        <v>0.22575380476498749</v>
      </c>
      <c r="D64" s="8">
        <v>0.33369906768080432</v>
      </c>
      <c r="E64" s="8">
        <v>0.25675271048725562</v>
      </c>
      <c r="F64" s="8">
        <v>0.1016308789431524</v>
      </c>
      <c r="G64" s="8">
        <v>1.6435238544254611E-2</v>
      </c>
      <c r="H64" s="11">
        <f t="shared" si="12"/>
        <v>2.1521097800822457</v>
      </c>
      <c r="I64" s="12">
        <f t="shared" si="13"/>
        <v>0.93427170042045449</v>
      </c>
      <c r="J64" s="5">
        <f t="shared" si="14"/>
        <v>0.99999999999999989</v>
      </c>
    </row>
    <row r="65" spans="1:10" x14ac:dyDescent="0.25">
      <c r="A65" s="7">
        <v>8</v>
      </c>
      <c r="B65" s="8">
        <v>0.1626112723545094</v>
      </c>
      <c r="C65" s="8">
        <v>0.33706717491064497</v>
      </c>
      <c r="D65" s="8">
        <v>0.30997700771070918</v>
      </c>
      <c r="E65" s="8">
        <v>0.14934256170200061</v>
      </c>
      <c r="F65" s="8">
        <v>3.7205043703893097E-2</v>
      </c>
      <c r="G65" s="8">
        <v>3.7969396182427439E-3</v>
      </c>
      <c r="H65" s="11">
        <f t="shared" si="12"/>
        <v>1.5728537483448513</v>
      </c>
      <c r="I65" s="12">
        <f t="shared" si="13"/>
        <v>0.83738872764549055</v>
      </c>
      <c r="J65" s="5">
        <f t="shared" si="14"/>
        <v>1</v>
      </c>
    </row>
    <row r="66" spans="1:10" x14ac:dyDescent="0.25">
      <c r="A66" s="7">
        <v>9</v>
      </c>
      <c r="B66" s="8">
        <v>0.29444516967091428</v>
      </c>
      <c r="C66" s="8">
        <v>0.38554833521923021</v>
      </c>
      <c r="D66" s="8">
        <v>0.2329261126799437</v>
      </c>
      <c r="E66" s="8">
        <v>7.40241432120885E-2</v>
      </c>
      <c r="F66" s="8">
        <v>1.2226461431016579E-2</v>
      </c>
      <c r="G66" s="8">
        <v>8.2977778680675622E-4</v>
      </c>
      <c r="H66" s="11">
        <f t="shared" si="12"/>
        <v>1.1265277248734833</v>
      </c>
      <c r="I66" s="12">
        <f t="shared" si="13"/>
        <v>0.70555483032908572</v>
      </c>
      <c r="J66" s="5">
        <f t="shared" si="14"/>
        <v>0.99999999999999989</v>
      </c>
    </row>
    <row r="67" spans="1:10" x14ac:dyDescent="0.25">
      <c r="A67" s="7">
        <v>10</v>
      </c>
      <c r="B67" s="8">
        <v>0.43785726291605342</v>
      </c>
      <c r="C67" s="8">
        <v>0.37188721807056441</v>
      </c>
      <c r="D67" s="8">
        <v>0.15311151362321099</v>
      </c>
      <c r="E67" s="8">
        <v>3.3211910650482512E-2</v>
      </c>
      <c r="F67" s="8">
        <v>3.756490929079195E-3</v>
      </c>
      <c r="G67" s="8">
        <v>1.7560381060951059E-4</v>
      </c>
      <c r="H67" s="11">
        <f t="shared" si="12"/>
        <v>0.7936499600377982</v>
      </c>
      <c r="I67" s="12">
        <f t="shared" si="13"/>
        <v>0.56214273708394658</v>
      </c>
      <c r="J67" s="5">
        <f t="shared" si="14"/>
        <v>1</v>
      </c>
    </row>
    <row r="69" spans="1:10" x14ac:dyDescent="0.25">
      <c r="A69" s="10" t="s">
        <v>29</v>
      </c>
    </row>
    <row r="70" spans="1:10" x14ac:dyDescent="0.25">
      <c r="A70" s="3" t="s">
        <v>2</v>
      </c>
      <c r="B70" s="3" t="s">
        <v>19</v>
      </c>
      <c r="C70" s="3" t="s">
        <v>20</v>
      </c>
      <c r="D70" s="3" t="s">
        <v>21</v>
      </c>
      <c r="E70" s="3" t="s">
        <v>3</v>
      </c>
      <c r="F70" s="3" t="s">
        <v>4</v>
      </c>
      <c r="G70" s="3" t="s">
        <v>5</v>
      </c>
      <c r="H70" s="3" t="s">
        <v>22</v>
      </c>
      <c r="I70" s="3" t="s">
        <v>23</v>
      </c>
      <c r="J70" s="3" t="s">
        <v>15</v>
      </c>
    </row>
    <row r="71" spans="1:10" x14ac:dyDescent="0.25">
      <c r="A71" s="7">
        <v>1</v>
      </c>
      <c r="B71" s="8">
        <v>0</v>
      </c>
      <c r="C71" s="8">
        <v>0</v>
      </c>
      <c r="D71" s="8">
        <v>0</v>
      </c>
      <c r="E71" s="8">
        <v>0</v>
      </c>
      <c r="F71" s="8">
        <v>0</v>
      </c>
      <c r="G71" s="8">
        <v>1</v>
      </c>
      <c r="H71" s="11">
        <f t="shared" ref="H71:H80" si="15">1*C71+2*D71+3*E71+4*F71+5*G71</f>
        <v>5</v>
      </c>
      <c r="I71" s="12">
        <f t="shared" ref="I71:I80" si="16">1-B71</f>
        <v>1</v>
      </c>
      <c r="J71" s="5">
        <f t="shared" ref="J71:J80" si="17">SUM(B71:G71)</f>
        <v>1</v>
      </c>
    </row>
    <row r="72" spans="1:10" x14ac:dyDescent="0.25">
      <c r="A72" s="7">
        <v>2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8">
        <v>1</v>
      </c>
      <c r="H72" s="11">
        <f t="shared" si="15"/>
        <v>5</v>
      </c>
      <c r="I72" s="12">
        <f t="shared" si="16"/>
        <v>1</v>
      </c>
      <c r="J72" s="5">
        <f t="shared" si="17"/>
        <v>1</v>
      </c>
    </row>
    <row r="73" spans="1:10" x14ac:dyDescent="0.25">
      <c r="A73" s="7">
        <v>3</v>
      </c>
      <c r="B73" s="8">
        <v>1.020839127669868E-2</v>
      </c>
      <c r="C73" s="8">
        <v>7.5909603658213087E-2</v>
      </c>
      <c r="D73" s="8">
        <v>0.22776234121321209</v>
      </c>
      <c r="E73" s="8">
        <v>0.34423440299885327</v>
      </c>
      <c r="F73" s="8">
        <v>0.26179909346395869</v>
      </c>
      <c r="G73" s="8">
        <v>8.0086167389064253E-2</v>
      </c>
      <c r="H73" s="11">
        <f t="shared" si="15"/>
        <v>3.0117647058823529</v>
      </c>
      <c r="I73" s="12">
        <f t="shared" si="16"/>
        <v>0.9897916087233013</v>
      </c>
      <c r="J73" s="5">
        <f t="shared" si="17"/>
        <v>1</v>
      </c>
    </row>
    <row r="74" spans="1:10" x14ac:dyDescent="0.25">
      <c r="A74" s="7">
        <v>4</v>
      </c>
      <c r="B74" s="8">
        <v>0.15903350219219059</v>
      </c>
      <c r="C74" s="8">
        <v>0.34896668736020331</v>
      </c>
      <c r="D74" s="8">
        <v>0.31310675756787681</v>
      </c>
      <c r="E74" s="8">
        <v>0.14281404181894819</v>
      </c>
      <c r="F74" s="8">
        <v>3.2996975093442051E-2</v>
      </c>
      <c r="G74" s="8">
        <v>3.0820359673391401E-3</v>
      </c>
      <c r="H74" s="11">
        <f t="shared" si="15"/>
        <v>1.5510204081632655</v>
      </c>
      <c r="I74" s="12">
        <f t="shared" si="16"/>
        <v>0.84096649780780941</v>
      </c>
      <c r="J74" s="5">
        <f t="shared" si="17"/>
        <v>1.0000000000000002</v>
      </c>
    </row>
    <row r="75" spans="1:10" x14ac:dyDescent="0.25">
      <c r="A75" s="7">
        <v>5</v>
      </c>
      <c r="B75" s="8">
        <v>0.45362505614322041</v>
      </c>
      <c r="C75" s="8">
        <v>0.38307257878365231</v>
      </c>
      <c r="D75" s="8">
        <v>0.13598947216747609</v>
      </c>
      <c r="E75" s="8">
        <v>2.489588425764715E-2</v>
      </c>
      <c r="F75" s="8">
        <v>2.3284208122387961E-3</v>
      </c>
      <c r="G75" s="8">
        <v>8.8587835765322967E-5</v>
      </c>
      <c r="H75" s="11">
        <f t="shared" si="15"/>
        <v>0.73949579831932777</v>
      </c>
      <c r="I75" s="12">
        <f t="shared" si="16"/>
        <v>0.54637494385677954</v>
      </c>
      <c r="J75" s="5">
        <f t="shared" si="17"/>
        <v>1</v>
      </c>
    </row>
    <row r="76" spans="1:10" x14ac:dyDescent="0.25">
      <c r="A76" s="7">
        <v>6</v>
      </c>
      <c r="B76" s="8">
        <v>0.70941781981370189</v>
      </c>
      <c r="C76" s="8">
        <v>0.24868465132276271</v>
      </c>
      <c r="D76" s="8">
        <v>3.8621534633375851E-2</v>
      </c>
      <c r="E76" s="8">
        <v>3.1421559826287429E-3</v>
      </c>
      <c r="F76" s="8">
        <v>1.315762451318988E-4</v>
      </c>
      <c r="G76" s="8">
        <v>2.2620023988690318E-6</v>
      </c>
      <c r="H76" s="11">
        <f t="shared" si="15"/>
        <v>0.33589180352992254</v>
      </c>
      <c r="I76" s="12">
        <f t="shared" si="16"/>
        <v>0.29058218018629811</v>
      </c>
      <c r="J76" s="5">
        <f t="shared" si="17"/>
        <v>1</v>
      </c>
    </row>
    <row r="77" spans="1:10" x14ac:dyDescent="0.25">
      <c r="A77" s="7">
        <v>7</v>
      </c>
      <c r="B77" s="8">
        <v>0.8628840859775827</v>
      </c>
      <c r="C77" s="8">
        <v>0.1275990653846</v>
      </c>
      <c r="D77" s="8">
        <v>9.1637554092285269E-3</v>
      </c>
      <c r="E77" s="8">
        <v>3.4625750526826222E-4</v>
      </c>
      <c r="F77" s="8">
        <v>6.7801903524408066E-6</v>
      </c>
      <c r="G77" s="8">
        <v>5.5532967978700319E-8</v>
      </c>
      <c r="H77" s="11">
        <f t="shared" si="15"/>
        <v>0.14699274714511149</v>
      </c>
      <c r="I77" s="12">
        <f t="shared" si="16"/>
        <v>0.1371159140224173</v>
      </c>
      <c r="J77" s="5">
        <f t="shared" si="17"/>
        <v>1</v>
      </c>
    </row>
    <row r="78" spans="1:10" x14ac:dyDescent="0.25">
      <c r="A78" s="7">
        <v>8</v>
      </c>
      <c r="B78" s="8">
        <v>0.93988390716391312</v>
      </c>
      <c r="C78" s="8">
        <v>5.8056941425256303E-2</v>
      </c>
      <c r="D78" s="8">
        <v>2.0229133837080348E-3</v>
      </c>
      <c r="E78" s="8">
        <v>3.5898912871497152E-5</v>
      </c>
      <c r="F78" s="8">
        <v>3.3775309061179152E-7</v>
      </c>
      <c r="G78" s="8">
        <v>1.361160400232176E-9</v>
      </c>
      <c r="H78" s="11">
        <f t="shared" si="15"/>
        <v>6.2211822749451313E-2</v>
      </c>
      <c r="I78" s="12">
        <f t="shared" si="16"/>
        <v>6.0116092836086876E-2</v>
      </c>
      <c r="J78" s="5">
        <f t="shared" si="17"/>
        <v>1</v>
      </c>
    </row>
    <row r="79" spans="1:10" x14ac:dyDescent="0.25">
      <c r="A79" s="7">
        <v>9</v>
      </c>
      <c r="B79" s="8">
        <v>0.97497601651127452</v>
      </c>
      <c r="C79" s="8">
        <v>2.4581091780218271E-2</v>
      </c>
      <c r="D79" s="8">
        <v>4.3928120404827971E-4</v>
      </c>
      <c r="E79" s="8">
        <v>3.5935152090609148E-6</v>
      </c>
      <c r="F79" s="8">
        <v>1.6955512325874211E-8</v>
      </c>
      <c r="G79" s="8">
        <v>3.3737567327468199E-11</v>
      </c>
      <c r="H79" s="11">
        <f t="shared" si="15"/>
        <v>2.5470502724679156E-2</v>
      </c>
      <c r="I79" s="12">
        <f t="shared" si="16"/>
        <v>2.5023983488725476E-2</v>
      </c>
      <c r="J79" s="5">
        <f t="shared" si="17"/>
        <v>1</v>
      </c>
    </row>
    <row r="80" spans="1:10" x14ac:dyDescent="0.25">
      <c r="A80" s="7">
        <v>10</v>
      </c>
      <c r="B80" s="8">
        <v>0.99002556868910296</v>
      </c>
      <c r="C80" s="8">
        <v>9.8771297033022152E-3</v>
      </c>
      <c r="D80" s="8">
        <v>9.6951605865950685E-5</v>
      </c>
      <c r="E80" s="8">
        <v>3.4910141930409482E-7</v>
      </c>
      <c r="F80" s="8">
        <v>8.9946654240143228E-10</v>
      </c>
      <c r="G80" s="8">
        <v>8.4307577924289094E-13</v>
      </c>
      <c r="H80" s="11">
        <f t="shared" si="15"/>
        <v>1.0072083821373578E-2</v>
      </c>
      <c r="I80" s="12">
        <f t="shared" si="16"/>
        <v>9.9744313108970362E-3</v>
      </c>
      <c r="J80" s="5">
        <f t="shared" si="17"/>
        <v>1</v>
      </c>
    </row>
    <row r="82" spans="1:10" x14ac:dyDescent="0.25">
      <c r="A82" s="10" t="s">
        <v>30</v>
      </c>
      <c r="D82" s="2" t="s">
        <v>31</v>
      </c>
    </row>
    <row r="83" spans="1:10" x14ac:dyDescent="0.25">
      <c r="A83" s="3" t="s">
        <v>2</v>
      </c>
      <c r="B83" s="3" t="s">
        <v>19</v>
      </c>
      <c r="C83" s="3" t="s">
        <v>20</v>
      </c>
      <c r="D83" s="3" t="s">
        <v>21</v>
      </c>
      <c r="E83" s="3" t="s">
        <v>3</v>
      </c>
      <c r="F83" s="3" t="s">
        <v>4</v>
      </c>
      <c r="G83" s="3" t="s">
        <v>5</v>
      </c>
      <c r="H83" s="3" t="s">
        <v>22</v>
      </c>
      <c r="I83" s="3" t="s">
        <v>23</v>
      </c>
      <c r="J83" s="3" t="s">
        <v>15</v>
      </c>
    </row>
    <row r="84" spans="1:10" x14ac:dyDescent="0.25">
      <c r="A84" s="7">
        <v>1</v>
      </c>
      <c r="B84" s="8">
        <v>0</v>
      </c>
      <c r="C84" s="8">
        <v>0</v>
      </c>
      <c r="D84" s="8">
        <v>0</v>
      </c>
      <c r="E84" s="8">
        <v>0</v>
      </c>
      <c r="F84" s="8">
        <v>0</v>
      </c>
      <c r="G84" s="8">
        <v>1</v>
      </c>
      <c r="H84" s="11">
        <f t="shared" ref="H84:H93" si="18">1*C84+2*D84+3*E84+4*F84+5*G84</f>
        <v>5</v>
      </c>
      <c r="I84" s="12">
        <f t="shared" ref="I84:I93" si="19">1-B84</f>
        <v>1</v>
      </c>
      <c r="J84" s="5">
        <f t="shared" ref="J84:J93" si="20">SUM(B84:G84)</f>
        <v>1</v>
      </c>
    </row>
    <row r="85" spans="1:10" x14ac:dyDescent="0.25">
      <c r="A85" s="7">
        <v>2</v>
      </c>
      <c r="B85" s="8">
        <v>0.26217343190099651</v>
      </c>
      <c r="C85" s="8">
        <v>0.40156121980233689</v>
      </c>
      <c r="D85" s="8">
        <v>0.24722705449453841</v>
      </c>
      <c r="E85" s="8">
        <v>7.6436886567547865E-2</v>
      </c>
      <c r="F85" s="8">
        <v>1.18624364316645E-2</v>
      </c>
      <c r="G85" s="8">
        <v>7.3897080291574922E-4</v>
      </c>
      <c r="H85" s="11">
        <f t="shared" si="18"/>
        <v>1.1764705882352939</v>
      </c>
      <c r="I85" s="12">
        <f t="shared" si="19"/>
        <v>0.73782656809900349</v>
      </c>
      <c r="J85" s="5">
        <f t="shared" si="20"/>
        <v>0.99999999999999989</v>
      </c>
    </row>
    <row r="86" spans="1:10" x14ac:dyDescent="0.25">
      <c r="A86" s="7">
        <v>3</v>
      </c>
      <c r="B86" s="8">
        <v>0.76720728640135638</v>
      </c>
      <c r="C86" s="8">
        <v>0.20816933111059541</v>
      </c>
      <c r="D86" s="8">
        <v>2.325547079202802E-2</v>
      </c>
      <c r="E86" s="8">
        <v>1.328844632407517E-3</v>
      </c>
      <c r="F86" s="8">
        <v>3.8612498172825531E-5</v>
      </c>
      <c r="G86" s="8">
        <v>4.5456543987334528E-7</v>
      </c>
      <c r="H86" s="11">
        <f t="shared" si="18"/>
        <v>0.25882352941176467</v>
      </c>
      <c r="I86" s="12">
        <f t="shared" si="19"/>
        <v>0.23279271359864362</v>
      </c>
      <c r="J86" s="5">
        <f t="shared" si="20"/>
        <v>1.0000000000000002</v>
      </c>
    </row>
    <row r="87" spans="1:10" x14ac:dyDescent="0.25">
      <c r="A87" s="7">
        <v>4</v>
      </c>
      <c r="B87" s="8">
        <v>0.94839644110965216</v>
      </c>
      <c r="C87" s="8">
        <v>5.0401300837357062E-2</v>
      </c>
      <c r="D87" s="8">
        <v>1.1870468440304701E-3</v>
      </c>
      <c r="E87" s="8">
        <v>1.5111171006909079E-5</v>
      </c>
      <c r="F87" s="8">
        <v>9.9776825191062053E-8</v>
      </c>
      <c r="G87" s="8">
        <v>2.6112821181029712E-10</v>
      </c>
      <c r="H87" s="11">
        <f t="shared" si="18"/>
        <v>5.2821128451380553E-2</v>
      </c>
      <c r="I87" s="12">
        <f t="shared" si="19"/>
        <v>5.1603558890347845E-2</v>
      </c>
      <c r="J87" s="5">
        <f t="shared" si="20"/>
        <v>1</v>
      </c>
    </row>
    <row r="88" spans="1:10" x14ac:dyDescent="0.25">
      <c r="A88" s="7">
        <v>5</v>
      </c>
      <c r="B88" s="8">
        <v>0.99014645864073214</v>
      </c>
      <c r="C88" s="8">
        <v>9.8032812795104188E-3</v>
      </c>
      <c r="D88" s="8">
        <v>5.0100215241359592E-5</v>
      </c>
      <c r="E88" s="8">
        <v>1.5958355530613241E-7</v>
      </c>
      <c r="F88" s="8">
        <v>2.8082876048815429E-10</v>
      </c>
      <c r="G88" s="8">
        <v>1.3195109337217769E-13</v>
      </c>
      <c r="H88" s="11">
        <f t="shared" si="18"/>
        <v>9.9039615846338528E-3</v>
      </c>
      <c r="I88" s="12">
        <f t="shared" si="19"/>
        <v>9.8535413592678589E-3</v>
      </c>
      <c r="J88" s="5">
        <f t="shared" si="20"/>
        <v>1</v>
      </c>
    </row>
    <row r="89" spans="1:10" x14ac:dyDescent="0.25">
      <c r="A89" s="7">
        <v>6</v>
      </c>
      <c r="B89" s="8">
        <v>0.99831607316729409</v>
      </c>
      <c r="C89" s="8">
        <v>1.6820746349527911E-3</v>
      </c>
      <c r="D89" s="8">
        <v>1.8505340380261389E-6</v>
      </c>
      <c r="E89" s="8">
        <v>1.6626323364253121E-9</v>
      </c>
      <c r="F89" s="8">
        <v>1.082693952358942E-12</v>
      </c>
      <c r="G89" s="8">
        <v>3.9519223012473328E-17</v>
      </c>
      <c r="H89" s="11">
        <f t="shared" si="18"/>
        <v>1.6857806952568259E-3</v>
      </c>
      <c r="I89" s="12">
        <f t="shared" si="19"/>
        <v>1.6839268327059065E-3</v>
      </c>
      <c r="J89" s="5">
        <f t="shared" si="20"/>
        <v>1</v>
      </c>
    </row>
    <row r="90" spans="1:10" x14ac:dyDescent="0.25">
      <c r="A90" s="7">
        <v>7</v>
      </c>
      <c r="B90" s="8">
        <v>0.99974352634272845</v>
      </c>
      <c r="C90" s="8">
        <v>2.5641548543085178E-4</v>
      </c>
      <c r="D90" s="8">
        <v>5.8156028314159263E-8</v>
      </c>
      <c r="E90" s="8">
        <v>1.5807416150391438E-11</v>
      </c>
      <c r="F90" s="8">
        <v>5.1645181001323473E-15</v>
      </c>
      <c r="G90" s="8">
        <v>0</v>
      </c>
      <c r="H90" s="11">
        <f t="shared" si="18"/>
        <v>2.5653184493038662E-4</v>
      </c>
      <c r="I90" s="12">
        <f t="shared" si="19"/>
        <v>2.564736572715498E-4</v>
      </c>
      <c r="J90" s="5">
        <f t="shared" si="20"/>
        <v>1.0000000000000002</v>
      </c>
    </row>
    <row r="91" spans="1:10" x14ac:dyDescent="0.25">
      <c r="A91" s="7">
        <v>8</v>
      </c>
      <c r="B91" s="8">
        <v>0.99996579724415657</v>
      </c>
      <c r="C91" s="8">
        <v>3.4201265822779018E-5</v>
      </c>
      <c r="D91" s="8">
        <v>1.489893926424187E-9</v>
      </c>
      <c r="E91" s="8">
        <v>1.2666046254158569E-13</v>
      </c>
      <c r="F91" s="8">
        <v>2.624543359751051E-17</v>
      </c>
      <c r="G91" s="8">
        <v>0</v>
      </c>
      <c r="H91" s="11">
        <f t="shared" si="18"/>
        <v>3.4204245990718239E-5</v>
      </c>
      <c r="I91" s="12">
        <f t="shared" si="19"/>
        <v>3.420275584342658E-5</v>
      </c>
      <c r="J91" s="5">
        <f t="shared" si="20"/>
        <v>0.99999999999999989</v>
      </c>
    </row>
    <row r="92" spans="1:10" x14ac:dyDescent="0.25">
      <c r="A92" s="7">
        <v>9</v>
      </c>
      <c r="B92" s="8">
        <v>0.99999611318343284</v>
      </c>
      <c r="C92" s="8">
        <v>3.8867869998670396E-6</v>
      </c>
      <c r="D92" s="8">
        <v>2.9566512263752688E-11</v>
      </c>
      <c r="E92" s="8">
        <v>8.0558553103416949E-16</v>
      </c>
      <c r="F92" s="8">
        <v>1.410680770420026E-19</v>
      </c>
      <c r="G92" s="8">
        <v>0</v>
      </c>
      <c r="H92" s="11">
        <f t="shared" si="18"/>
        <v>3.8868461353088883E-6</v>
      </c>
      <c r="I92" s="12">
        <f t="shared" si="19"/>
        <v>3.8868165671557264E-6</v>
      </c>
      <c r="J92" s="5">
        <f t="shared" si="20"/>
        <v>1</v>
      </c>
    </row>
    <row r="93" spans="1:10" x14ac:dyDescent="0.25">
      <c r="A93" s="7">
        <v>10</v>
      </c>
      <c r="B93" s="8">
        <v>0.99999963843333939</v>
      </c>
      <c r="C93" s="8">
        <v>3.6156623904488988E-7</v>
      </c>
      <c r="D93" s="8">
        <v>4.2164910791886911E-13</v>
      </c>
      <c r="E93" s="8">
        <v>3.7353586641803251E-18</v>
      </c>
      <c r="F93" s="8">
        <v>8.2677261270038106E-22</v>
      </c>
      <c r="G93" s="8">
        <v>0</v>
      </c>
      <c r="H93" s="11">
        <f t="shared" si="18"/>
        <v>3.6156708235431508E-7</v>
      </c>
      <c r="I93" s="12">
        <f t="shared" si="19"/>
        <v>3.6156666061160081E-7</v>
      </c>
      <c r="J93" s="5">
        <f t="shared" si="20"/>
        <v>1</v>
      </c>
    </row>
  </sheetData>
  <conditionalFormatting sqref="B6:G15">
    <cfRule type="colorScale" priority="1">
      <colorScale>
        <cfvo type="num" val="0"/>
        <cfvo type="num" val="1"/>
        <color rgb="FFFFFFFF"/>
        <color rgb="FF4F9A6E"/>
      </colorScale>
    </cfRule>
  </conditionalFormatting>
  <conditionalFormatting sqref="B19:G28">
    <cfRule type="colorScale" priority="2">
      <colorScale>
        <cfvo type="num" val="0"/>
        <cfvo type="num" val="1"/>
        <color rgb="FFFFFFFF"/>
        <color rgb="FF4F9A6E"/>
      </colorScale>
    </cfRule>
  </conditionalFormatting>
  <conditionalFormatting sqref="B32:G41">
    <cfRule type="colorScale" priority="3">
      <colorScale>
        <cfvo type="num" val="0"/>
        <cfvo type="num" val="1"/>
        <color rgb="FFFFFFFF"/>
        <color rgb="FF4F9A6E"/>
      </colorScale>
    </cfRule>
  </conditionalFormatting>
  <conditionalFormatting sqref="B45:G54">
    <cfRule type="colorScale" priority="4">
      <colorScale>
        <cfvo type="num" val="0"/>
        <cfvo type="num" val="1"/>
        <color rgb="FFFFFFFF"/>
        <color rgb="FF4F9A6E"/>
      </colorScale>
    </cfRule>
  </conditionalFormatting>
  <conditionalFormatting sqref="B58:G67">
    <cfRule type="colorScale" priority="5">
      <colorScale>
        <cfvo type="num" val="0"/>
        <cfvo type="num" val="1"/>
        <color rgb="FFFFFFFF"/>
        <color rgb="FF4F9A6E"/>
      </colorScale>
    </cfRule>
  </conditionalFormatting>
  <conditionalFormatting sqref="B71:G80">
    <cfRule type="colorScale" priority="6">
      <colorScale>
        <cfvo type="num" val="0"/>
        <cfvo type="num" val="1"/>
        <color rgb="FFFFFFFF"/>
        <color rgb="FF4F9A6E"/>
      </colorScale>
    </cfRule>
  </conditionalFormatting>
  <conditionalFormatting sqref="B84:G93">
    <cfRule type="colorScale" priority="7">
      <colorScale>
        <cfvo type="num" val="0"/>
        <cfvo type="num" val="1"/>
        <color rgb="FFFFFFFF"/>
        <color rgb="FF4F9A6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9"/>
  <sheetViews>
    <sheetView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5" x14ac:dyDescent="0.25"/>
  <cols>
    <col min="1" max="1" width="9" customWidth="1"/>
    <col min="2" max="8" width="11" customWidth="1"/>
    <col min="9" max="9" width="12" customWidth="1"/>
    <col min="10" max="10" width="11" customWidth="1"/>
    <col min="11" max="11" width="9" customWidth="1"/>
  </cols>
  <sheetData>
    <row r="1" spans="1:11" ht="16.5" x14ac:dyDescent="0.25">
      <c r="A1" s="1" t="s">
        <v>36</v>
      </c>
    </row>
    <row r="2" spans="1:11" x14ac:dyDescent="0.25">
      <c r="A2" s="2" t="s">
        <v>37</v>
      </c>
    </row>
    <row r="4" spans="1:11" x14ac:dyDescent="0.25">
      <c r="A4" s="10" t="s">
        <v>18</v>
      </c>
    </row>
    <row r="5" spans="1:11" x14ac:dyDescent="0.25">
      <c r="A5" s="3" t="s">
        <v>2</v>
      </c>
      <c r="B5" s="3" t="s">
        <v>19</v>
      </c>
      <c r="C5" s="3" t="s">
        <v>20</v>
      </c>
      <c r="D5" s="3" t="s">
        <v>21</v>
      </c>
      <c r="E5" s="3" t="s">
        <v>3</v>
      </c>
      <c r="F5" s="3" t="s">
        <v>4</v>
      </c>
      <c r="G5" s="3" t="s">
        <v>5</v>
      </c>
      <c r="H5" s="3" t="s">
        <v>6</v>
      </c>
      <c r="I5" s="3" t="s">
        <v>22</v>
      </c>
      <c r="J5" s="3" t="s">
        <v>23</v>
      </c>
      <c r="K5" s="3" t="s">
        <v>15</v>
      </c>
    </row>
    <row r="6" spans="1:11" x14ac:dyDescent="0.25">
      <c r="A6" s="7">
        <v>1</v>
      </c>
      <c r="B6" s="8">
        <v>1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11">
        <f t="shared" ref="I6:I13" si="0">1*C6+2*D6+3*E6+4*F6+5*G6+6*H6</f>
        <v>0</v>
      </c>
      <c r="J6" s="12">
        <f t="shared" ref="J6:J13" si="1">1-B6</f>
        <v>0</v>
      </c>
      <c r="K6" s="5">
        <f t="shared" ref="K6:K13" si="2">SUM(B6:H6)</f>
        <v>1</v>
      </c>
    </row>
    <row r="7" spans="1:11" x14ac:dyDescent="0.25">
      <c r="A7" s="7">
        <v>2</v>
      </c>
      <c r="B7" s="8">
        <v>1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11">
        <f t="shared" si="0"/>
        <v>0</v>
      </c>
      <c r="J7" s="12">
        <f t="shared" si="1"/>
        <v>0</v>
      </c>
      <c r="K7" s="5">
        <f t="shared" si="2"/>
        <v>1</v>
      </c>
    </row>
    <row r="8" spans="1:11" x14ac:dyDescent="0.25">
      <c r="A8" s="7">
        <v>3</v>
      </c>
      <c r="B8" s="8">
        <v>1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11">
        <f t="shared" si="0"/>
        <v>0</v>
      </c>
      <c r="J8" s="12">
        <f t="shared" si="1"/>
        <v>0</v>
      </c>
      <c r="K8" s="5">
        <f t="shared" si="2"/>
        <v>1</v>
      </c>
    </row>
    <row r="9" spans="1:11" x14ac:dyDescent="0.25">
      <c r="A9" s="7">
        <v>4</v>
      </c>
      <c r="B9" s="8">
        <v>0.51330397442955478</v>
      </c>
      <c r="C9" s="8">
        <v>0.36093276364332871</v>
      </c>
      <c r="D9" s="8">
        <v>0.106967626502551</v>
      </c>
      <c r="E9" s="8">
        <v>1.7143298134948699E-2</v>
      </c>
      <c r="F9" s="8">
        <v>1.5720851133097589E-3</v>
      </c>
      <c r="G9" s="8">
        <v>7.8568886087157733E-5</v>
      </c>
      <c r="H9" s="8">
        <v>1.683290219960866E-6</v>
      </c>
      <c r="I9" s="11">
        <f t="shared" si="0"/>
        <v>0.63298919567827128</v>
      </c>
      <c r="J9" s="12">
        <f t="shared" si="1"/>
        <v>0.48669602557044522</v>
      </c>
      <c r="K9" s="5">
        <f t="shared" si="2"/>
        <v>1</v>
      </c>
    </row>
    <row r="10" spans="1:11" x14ac:dyDescent="0.25">
      <c r="A10" s="7">
        <v>5</v>
      </c>
      <c r="B10" s="8">
        <v>0.1621045795249175</v>
      </c>
      <c r="C10" s="8">
        <v>0.34109019383833028</v>
      </c>
      <c r="D10" s="8">
        <v>0.30326286794125162</v>
      </c>
      <c r="E10" s="8">
        <v>0.14632758284693489</v>
      </c>
      <c r="F10" s="8">
        <v>4.0610527835146702E-2</v>
      </c>
      <c r="G10" s="8">
        <v>6.1932884870615204E-3</v>
      </c>
      <c r="H10" s="8">
        <v>4.1095952635763312E-4</v>
      </c>
      <c r="I10" s="11">
        <f t="shared" si="0"/>
        <v>1.5824729891956784</v>
      </c>
      <c r="J10" s="12">
        <f t="shared" si="1"/>
        <v>0.83789542047508248</v>
      </c>
      <c r="K10" s="5">
        <f t="shared" si="2"/>
        <v>1.0000000000000002</v>
      </c>
    </row>
    <row r="11" spans="1:11" x14ac:dyDescent="0.25">
      <c r="A11" s="7">
        <v>6</v>
      </c>
      <c r="B11" s="8">
        <v>3.7882035641381491E-2</v>
      </c>
      <c r="C11" s="8">
        <v>0.16157237116119999</v>
      </c>
      <c r="D11" s="8">
        <v>0.29183303792011828</v>
      </c>
      <c r="E11" s="8">
        <v>0.28697962671364302</v>
      </c>
      <c r="F11" s="8">
        <v>0.16314200017522881</v>
      </c>
      <c r="G11" s="8">
        <v>5.1398405006371779E-2</v>
      </c>
      <c r="H11" s="8">
        <v>7.1925233820567059E-3</v>
      </c>
      <c r="I11" s="11">
        <f t="shared" si="0"/>
        <v>2.5588924931674795</v>
      </c>
      <c r="J11" s="12">
        <f t="shared" si="1"/>
        <v>0.96211796435861852</v>
      </c>
      <c r="K11" s="5">
        <f t="shared" si="2"/>
        <v>1.0000000000000002</v>
      </c>
    </row>
    <row r="12" spans="1:11" x14ac:dyDescent="0.25">
      <c r="A12" s="7">
        <v>7</v>
      </c>
      <c r="B12" s="8">
        <v>7.3885939428679414E-3</v>
      </c>
      <c r="C12" s="8">
        <v>5.4279867608320029E-2</v>
      </c>
      <c r="D12" s="8">
        <v>0.16919296780865731</v>
      </c>
      <c r="E12" s="8">
        <v>0.28791479722963481</v>
      </c>
      <c r="F12" s="8">
        <v>0.28461250359898033</v>
      </c>
      <c r="G12" s="8">
        <v>0.1570595642783929</v>
      </c>
      <c r="H12" s="8">
        <v>3.9551705533146748E-2</v>
      </c>
      <c r="I12" s="11">
        <f t="shared" si="0"/>
        <v>3.4174682639013056</v>
      </c>
      <c r="J12" s="12">
        <f t="shared" si="1"/>
        <v>0.99261140605713205</v>
      </c>
      <c r="K12" s="5">
        <f t="shared" si="2"/>
        <v>1</v>
      </c>
    </row>
    <row r="13" spans="1:11" x14ac:dyDescent="0.25">
      <c r="A13" s="7">
        <v>8</v>
      </c>
      <c r="B13" s="8">
        <v>1.293983131421839E-3</v>
      </c>
      <c r="C13" s="8">
        <v>1.5017738920925431E-2</v>
      </c>
      <c r="D13" s="8">
        <v>7.4070783809365659E-2</v>
      </c>
      <c r="E13" s="8">
        <v>0.19992407832484699</v>
      </c>
      <c r="F13" s="8">
        <v>0.31502245282242852</v>
      </c>
      <c r="G13" s="8">
        <v>0.27847162876380249</v>
      </c>
      <c r="H13" s="8">
        <v>0.116199334227209</v>
      </c>
      <c r="I13" s="11">
        <f t="shared" si="0"/>
        <v>4.1125755019861785</v>
      </c>
      <c r="J13" s="12">
        <f t="shared" si="1"/>
        <v>0.99870601686857818</v>
      </c>
      <c r="K13" s="5">
        <f t="shared" si="2"/>
        <v>0.99999999999999989</v>
      </c>
    </row>
    <row r="15" spans="1:11" x14ac:dyDescent="0.25">
      <c r="A15" s="10" t="s">
        <v>24</v>
      </c>
    </row>
    <row r="16" spans="1:11" x14ac:dyDescent="0.25">
      <c r="A16" s="3" t="s">
        <v>2</v>
      </c>
      <c r="B16" s="3" t="s">
        <v>19</v>
      </c>
      <c r="C16" s="3" t="s">
        <v>20</v>
      </c>
      <c r="D16" s="3" t="s">
        <v>21</v>
      </c>
      <c r="E16" s="3" t="s">
        <v>3</v>
      </c>
      <c r="F16" s="3" t="s">
        <v>4</v>
      </c>
      <c r="G16" s="3" t="s">
        <v>5</v>
      </c>
      <c r="H16" s="3" t="s">
        <v>6</v>
      </c>
      <c r="I16" s="3" t="s">
        <v>22</v>
      </c>
      <c r="J16" s="3" t="s">
        <v>23</v>
      </c>
      <c r="K16" s="3" t="s">
        <v>15</v>
      </c>
    </row>
    <row r="17" spans="1:11" x14ac:dyDescent="0.25">
      <c r="A17" s="7">
        <v>1</v>
      </c>
      <c r="B17" s="8">
        <v>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11">
        <f t="shared" ref="I17:I24" si="3">1*C17+2*D17+3*E17+4*F17+5*G17+6*H17</f>
        <v>0</v>
      </c>
      <c r="J17" s="12">
        <f t="shared" ref="J17:J24" si="4">1-B17</f>
        <v>0</v>
      </c>
      <c r="K17" s="5">
        <f t="shared" ref="K17:K24" si="5">SUM(B17:H17)</f>
        <v>1</v>
      </c>
    </row>
    <row r="18" spans="1:11" x14ac:dyDescent="0.25">
      <c r="A18" s="7">
        <v>2</v>
      </c>
      <c r="B18" s="8">
        <v>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11">
        <f t="shared" si="3"/>
        <v>0</v>
      </c>
      <c r="J18" s="12">
        <f t="shared" si="4"/>
        <v>0</v>
      </c>
      <c r="K18" s="5">
        <f t="shared" si="5"/>
        <v>1</v>
      </c>
    </row>
    <row r="19" spans="1:11" x14ac:dyDescent="0.25">
      <c r="A19" s="7">
        <v>3</v>
      </c>
      <c r="B19" s="8">
        <v>4.8465542347380451E-2</v>
      </c>
      <c r="C19" s="8">
        <v>0.1897237502501028</v>
      </c>
      <c r="D19" s="8">
        <v>0.31108790476661902</v>
      </c>
      <c r="E19" s="8">
        <v>0.27368493297554769</v>
      </c>
      <c r="F19" s="8">
        <v>0.1363798120881573</v>
      </c>
      <c r="G19" s="8">
        <v>3.6539599554592787E-2</v>
      </c>
      <c r="H19" s="8">
        <v>4.1184580175998783E-3</v>
      </c>
      <c r="I19" s="11">
        <f t="shared" si="3"/>
        <v>2.3858823529411763</v>
      </c>
      <c r="J19" s="12">
        <f t="shared" si="4"/>
        <v>0.95153445765261957</v>
      </c>
      <c r="K19" s="5">
        <f t="shared" si="5"/>
        <v>0.99999999999999989</v>
      </c>
    </row>
    <row r="20" spans="1:11" x14ac:dyDescent="0.25">
      <c r="A20" s="7">
        <v>4</v>
      </c>
      <c r="B20" s="8">
        <v>5.290080376689048E-3</v>
      </c>
      <c r="C20" s="8">
        <v>4.4010658475955838E-2</v>
      </c>
      <c r="D20" s="8">
        <v>0.15318818245048191</v>
      </c>
      <c r="E20" s="8">
        <v>0.28567189826487333</v>
      </c>
      <c r="F20" s="8">
        <v>0.30117840075497992</v>
      </c>
      <c r="G20" s="8">
        <v>0.1702946847277689</v>
      </c>
      <c r="H20" s="8">
        <v>4.0366094949251058E-2</v>
      </c>
      <c r="I20" s="11">
        <f t="shared" si="3"/>
        <v>3.5057863145258099</v>
      </c>
      <c r="J20" s="12">
        <f t="shared" si="4"/>
        <v>0.9947099196233109</v>
      </c>
      <c r="K20" s="5">
        <f t="shared" si="5"/>
        <v>1</v>
      </c>
    </row>
    <row r="21" spans="1:11" x14ac:dyDescent="0.25">
      <c r="A21" s="7">
        <v>5</v>
      </c>
      <c r="B21" s="8">
        <v>4.8567820842193906E-3</v>
      </c>
      <c r="C21" s="8">
        <v>4.1693019982285549E-2</v>
      </c>
      <c r="D21" s="8">
        <v>0.14907853727052339</v>
      </c>
      <c r="E21" s="8">
        <v>0.28419236125617631</v>
      </c>
      <c r="F21" s="8">
        <v>0.30463550127203548</v>
      </c>
      <c r="G21" s="8">
        <v>0.1740999193674343</v>
      </c>
      <c r="H21" s="8">
        <v>4.1443878767325693E-2</v>
      </c>
      <c r="I21" s="11">
        <f t="shared" si="3"/>
        <v>3.5301320528211289</v>
      </c>
      <c r="J21" s="12">
        <f t="shared" si="4"/>
        <v>0.99514321791578064</v>
      </c>
      <c r="K21" s="5">
        <f t="shared" si="5"/>
        <v>1</v>
      </c>
    </row>
    <row r="22" spans="1:11" x14ac:dyDescent="0.25">
      <c r="A22" s="7">
        <v>6</v>
      </c>
      <c r="B22" s="8">
        <v>1.4946820469717679E-2</v>
      </c>
      <c r="C22" s="8">
        <v>8.9866448252060957E-2</v>
      </c>
      <c r="D22" s="8">
        <v>0.22785020281042281</v>
      </c>
      <c r="E22" s="8">
        <v>0.31073303586990392</v>
      </c>
      <c r="F22" s="8">
        <v>0.23997858040112699</v>
      </c>
      <c r="G22" s="8">
        <v>9.9392413671118854E-2</v>
      </c>
      <c r="H22" s="8">
        <v>1.7232498525648749E-2</v>
      </c>
      <c r="I22" s="11">
        <f t="shared" si="3"/>
        <v>3.0380373425966134</v>
      </c>
      <c r="J22" s="12">
        <f t="shared" si="4"/>
        <v>0.98505317953028237</v>
      </c>
      <c r="K22" s="5">
        <f t="shared" si="5"/>
        <v>0.99999999999999989</v>
      </c>
    </row>
    <row r="23" spans="1:11" x14ac:dyDescent="0.25">
      <c r="A23" s="7">
        <v>7</v>
      </c>
      <c r="B23" s="8">
        <v>4.9621349534747929E-2</v>
      </c>
      <c r="C23" s="8">
        <v>0.18629640941230249</v>
      </c>
      <c r="D23" s="8">
        <v>0.30543054339184522</v>
      </c>
      <c r="E23" s="8">
        <v>0.27399152193777898</v>
      </c>
      <c r="F23" s="8">
        <v>0.14088478510657601</v>
      </c>
      <c r="G23" s="8">
        <v>3.9183106611568659E-2</v>
      </c>
      <c r="H23" s="8">
        <v>4.5922840051805759E-3</v>
      </c>
      <c r="I23" s="11">
        <f t="shared" si="3"/>
        <v>2.4061404395245609</v>
      </c>
      <c r="J23" s="12">
        <f t="shared" si="4"/>
        <v>0.95037865046525205</v>
      </c>
      <c r="K23" s="5">
        <f t="shared" si="5"/>
        <v>0.99999999999999978</v>
      </c>
    </row>
    <row r="24" spans="1:11" x14ac:dyDescent="0.25">
      <c r="A24" s="7">
        <v>8</v>
      </c>
      <c r="B24" s="8">
        <v>0.12520322780013701</v>
      </c>
      <c r="C24" s="8">
        <v>0.29401078020084859</v>
      </c>
      <c r="D24" s="8">
        <v>0.31539951095850538</v>
      </c>
      <c r="E24" s="8">
        <v>0.18763831635666631</v>
      </c>
      <c r="F24" s="8">
        <v>6.4658288551159807E-2</v>
      </c>
      <c r="G24" s="8">
        <v>1.21268514741144E-2</v>
      </c>
      <c r="H24" s="8">
        <v>9.6302465856838281E-4</v>
      </c>
      <c r="I24" s="11">
        <f t="shared" si="3"/>
        <v>1.8127703107144797</v>
      </c>
      <c r="J24" s="12">
        <f t="shared" si="4"/>
        <v>0.87479677219986296</v>
      </c>
      <c r="K24" s="5">
        <f t="shared" si="5"/>
        <v>0.99999999999999989</v>
      </c>
    </row>
    <row r="26" spans="1:11" x14ac:dyDescent="0.25">
      <c r="A26" s="10" t="s">
        <v>25</v>
      </c>
    </row>
    <row r="27" spans="1:11" x14ac:dyDescent="0.25">
      <c r="A27" s="3" t="s">
        <v>2</v>
      </c>
      <c r="B27" s="3" t="s">
        <v>19</v>
      </c>
      <c r="C27" s="3" t="s">
        <v>20</v>
      </c>
      <c r="D27" s="3" t="s">
        <v>21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22</v>
      </c>
      <c r="J27" s="3" t="s">
        <v>23</v>
      </c>
      <c r="K27" s="3" t="s">
        <v>15</v>
      </c>
    </row>
    <row r="28" spans="1:11" x14ac:dyDescent="0.25">
      <c r="A28" s="7">
        <v>1</v>
      </c>
      <c r="B28" s="8">
        <v>1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11">
        <f t="shared" ref="I28:I35" si="6">1*C28+2*D28+3*E28+4*F28+5*G28+6*H28</f>
        <v>0</v>
      </c>
      <c r="J28" s="12">
        <f t="shared" ref="J28:J35" si="7">1-B28</f>
        <v>0</v>
      </c>
      <c r="K28" s="5">
        <f t="shared" ref="K28:K35" si="8">SUM(B28:H28)</f>
        <v>1</v>
      </c>
    </row>
    <row r="29" spans="1:11" x14ac:dyDescent="0.25">
      <c r="A29" s="7">
        <v>2</v>
      </c>
      <c r="B29" s="8">
        <v>1.758358133086481E-4</v>
      </c>
      <c r="C29" s="8">
        <v>3.3788099376426059E-3</v>
      </c>
      <c r="D29" s="8">
        <v>2.7140284450886999E-2</v>
      </c>
      <c r="E29" s="8">
        <v>0.1166867272005797</v>
      </c>
      <c r="F29" s="8">
        <v>0.28332553634137281</v>
      </c>
      <c r="G29" s="8">
        <v>0.3685432492262552</v>
      </c>
      <c r="H29" s="8">
        <v>0.20074955702995401</v>
      </c>
      <c r="I29" s="11">
        <f t="shared" si="6"/>
        <v>4.5882352941176467</v>
      </c>
      <c r="J29" s="12">
        <f t="shared" si="7"/>
        <v>0.9998241641866914</v>
      </c>
      <c r="K29" s="5">
        <f t="shared" si="8"/>
        <v>1</v>
      </c>
    </row>
    <row r="30" spans="1:11" x14ac:dyDescent="0.25">
      <c r="A30" s="7">
        <v>3</v>
      </c>
      <c r="B30" s="8">
        <v>8.3171817599708691E-3</v>
      </c>
      <c r="C30" s="8">
        <v>6.0774800118213769E-2</v>
      </c>
      <c r="D30" s="8">
        <v>0.1854860659980338</v>
      </c>
      <c r="E30" s="8">
        <v>0.30257782818896489</v>
      </c>
      <c r="F30" s="8">
        <v>0.27818458751593061</v>
      </c>
      <c r="G30" s="8">
        <v>0.1366465734935087</v>
      </c>
      <c r="H30" s="8">
        <v>2.8012962925377291E-2</v>
      </c>
      <c r="I30" s="11">
        <f t="shared" si="6"/>
        <v>3.303529411764706</v>
      </c>
      <c r="J30" s="12">
        <f t="shared" si="7"/>
        <v>0.99168281824002913</v>
      </c>
      <c r="K30" s="5">
        <f t="shared" si="8"/>
        <v>0.99999999999999989</v>
      </c>
    </row>
    <row r="31" spans="1:11" x14ac:dyDescent="0.25">
      <c r="A31" s="7">
        <v>4</v>
      </c>
      <c r="B31" s="8">
        <v>0.1204594376939709</v>
      </c>
      <c r="C31" s="8">
        <v>0.30186762626599473</v>
      </c>
      <c r="D31" s="8">
        <v>0.32110726578299897</v>
      </c>
      <c r="E31" s="8">
        <v>0.1847154607172532</v>
      </c>
      <c r="F31" s="8">
        <v>6.0426585062446143E-2</v>
      </c>
      <c r="G31" s="8">
        <v>1.0637491443291749E-2</v>
      </c>
      <c r="H31" s="8">
        <v>7.8613303404433967E-4</v>
      </c>
      <c r="I31" s="11">
        <f t="shared" si="6"/>
        <v>1.7978391356542616</v>
      </c>
      <c r="J31" s="12">
        <f t="shared" si="7"/>
        <v>0.87954056230602906</v>
      </c>
      <c r="K31" s="5">
        <f t="shared" si="8"/>
        <v>1</v>
      </c>
    </row>
    <row r="32" spans="1:11" x14ac:dyDescent="0.25">
      <c r="A32" s="7">
        <v>5</v>
      </c>
      <c r="B32" s="8">
        <v>0.39342913102648469</v>
      </c>
      <c r="C32" s="8">
        <v>0.39049905935532381</v>
      </c>
      <c r="D32" s="8">
        <v>0.1696162528728411</v>
      </c>
      <c r="E32" s="8">
        <v>4.048174003375838E-2</v>
      </c>
      <c r="F32" s="8">
        <v>5.5485911258737579E-3</v>
      </c>
      <c r="G32" s="8">
        <v>4.1229913845510402E-4</v>
      </c>
      <c r="H32" s="8">
        <v>1.2926447263539279E-5</v>
      </c>
      <c r="I32" s="11">
        <f t="shared" si="6"/>
        <v>0.87551020408163294</v>
      </c>
      <c r="J32" s="12">
        <f t="shared" si="7"/>
        <v>0.60657086897351531</v>
      </c>
      <c r="K32" s="5">
        <f t="shared" si="8"/>
        <v>1.0000000000000004</v>
      </c>
    </row>
    <row r="33" spans="1:11" x14ac:dyDescent="0.25">
      <c r="A33" s="7">
        <v>6</v>
      </c>
      <c r="B33" s="8">
        <v>0.66455218270739302</v>
      </c>
      <c r="C33" s="8">
        <v>0.27629057302782961</v>
      </c>
      <c r="D33" s="8">
        <v>5.3093581246325433E-2</v>
      </c>
      <c r="E33" s="8">
        <v>5.6975451128541132E-3</v>
      </c>
      <c r="F33" s="8">
        <v>3.5390579854984681E-4</v>
      </c>
      <c r="G33" s="8">
        <v>1.203929393130439E-5</v>
      </c>
      <c r="H33" s="8">
        <v>1.7281311671009051E-7</v>
      </c>
      <c r="I33" s="11">
        <f t="shared" si="6"/>
        <v>0.40104722740159898</v>
      </c>
      <c r="J33" s="12">
        <f t="shared" si="7"/>
        <v>0.33544781729260698</v>
      </c>
      <c r="K33" s="5">
        <f t="shared" si="8"/>
        <v>1.0000000000000002</v>
      </c>
    </row>
    <row r="34" spans="1:11" x14ac:dyDescent="0.25">
      <c r="A34" s="7">
        <v>7</v>
      </c>
      <c r="B34" s="8">
        <v>0.83848990696188852</v>
      </c>
      <c r="C34" s="8">
        <v>0.1476371315724706</v>
      </c>
      <c r="D34" s="8">
        <v>1.3192489208272359E-2</v>
      </c>
      <c r="E34" s="8">
        <v>6.6085968190023536E-4</v>
      </c>
      <c r="F34" s="8">
        <v>1.9295670514191981E-5</v>
      </c>
      <c r="G34" s="8">
        <v>3.1478628023145401E-7</v>
      </c>
      <c r="H34" s="8">
        <v>2.1186739040954209E-9</v>
      </c>
      <c r="I34" s="11">
        <f t="shared" si="6"/>
        <v>0.17608345836021738</v>
      </c>
      <c r="J34" s="12">
        <f t="shared" si="7"/>
        <v>0.16151009303811148</v>
      </c>
      <c r="K34" s="5">
        <f t="shared" si="8"/>
        <v>1</v>
      </c>
    </row>
    <row r="35" spans="1:11" x14ac:dyDescent="0.25">
      <c r="A35" s="7">
        <v>8</v>
      </c>
      <c r="B35" s="8">
        <v>0.92850706665674321</v>
      </c>
      <c r="C35" s="8">
        <v>6.8444911762224864E-2</v>
      </c>
      <c r="D35" s="8">
        <v>2.976837599378045E-3</v>
      </c>
      <c r="E35" s="8">
        <v>7.0188685834116115E-5</v>
      </c>
      <c r="F35" s="8">
        <v>9.8731848797081421E-7</v>
      </c>
      <c r="G35" s="8">
        <v>7.9522734016226969E-9</v>
      </c>
      <c r="H35" s="8">
        <v>2.5058410016301541E-11</v>
      </c>
      <c r="I35" s="11">
        <f t="shared" si="6"/>
        <v>7.4613142204152633E-2</v>
      </c>
      <c r="J35" s="12">
        <f t="shared" si="7"/>
        <v>7.1492933343256793E-2</v>
      </c>
      <c r="K35" s="5">
        <f t="shared" si="8"/>
        <v>1</v>
      </c>
    </row>
    <row r="37" spans="1:11" x14ac:dyDescent="0.25">
      <c r="A37" s="10" t="s">
        <v>26</v>
      </c>
    </row>
    <row r="38" spans="1:11" x14ac:dyDescent="0.25">
      <c r="A38" s="3" t="s">
        <v>2</v>
      </c>
      <c r="B38" s="3" t="s">
        <v>19</v>
      </c>
      <c r="C38" s="3" t="s">
        <v>20</v>
      </c>
      <c r="D38" s="3" t="s">
        <v>21</v>
      </c>
      <c r="E38" s="3" t="s">
        <v>3</v>
      </c>
      <c r="F38" s="3" t="s">
        <v>4</v>
      </c>
      <c r="G38" s="3" t="s">
        <v>5</v>
      </c>
      <c r="H38" s="3" t="s">
        <v>6</v>
      </c>
      <c r="I38" s="3" t="s">
        <v>22</v>
      </c>
      <c r="J38" s="3" t="s">
        <v>23</v>
      </c>
      <c r="K38" s="3" t="s">
        <v>15</v>
      </c>
    </row>
    <row r="39" spans="1:11" x14ac:dyDescent="0.25">
      <c r="A39" s="7">
        <v>1</v>
      </c>
      <c r="B39" s="8">
        <v>0</v>
      </c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8">
        <v>1</v>
      </c>
      <c r="I39" s="11">
        <f t="shared" ref="I39:I46" si="9">1*C39+2*D39+3*E39+4*F39+5*G39+6*H39</f>
        <v>6</v>
      </c>
      <c r="J39" s="12">
        <f t="shared" ref="J39:J46" si="10">1-B39</f>
        <v>1</v>
      </c>
      <c r="K39" s="5">
        <f t="shared" ref="K39:K46" si="11">SUM(B39:H39)</f>
        <v>1</v>
      </c>
    </row>
    <row r="40" spans="1:11" x14ac:dyDescent="0.25">
      <c r="A40" s="7">
        <v>2</v>
      </c>
      <c r="B40" s="8">
        <v>0.20074955702995401</v>
      </c>
      <c r="C40" s="8">
        <v>0.3685432492262552</v>
      </c>
      <c r="D40" s="8">
        <v>0.28332553634137281</v>
      </c>
      <c r="E40" s="8">
        <v>0.1166867272005797</v>
      </c>
      <c r="F40" s="8">
        <v>2.7140284450886999E-2</v>
      </c>
      <c r="G40" s="8">
        <v>3.3788099376426059E-3</v>
      </c>
      <c r="H40" s="8">
        <v>1.758358133086481E-4</v>
      </c>
      <c r="I40" s="11">
        <f t="shared" si="9"/>
        <v>1.4117647058823528</v>
      </c>
      <c r="J40" s="12">
        <f t="shared" si="10"/>
        <v>0.79925044297004599</v>
      </c>
      <c r="K40" s="5">
        <f t="shared" si="11"/>
        <v>1</v>
      </c>
    </row>
    <row r="41" spans="1:11" x14ac:dyDescent="0.25">
      <c r="A41" s="7">
        <v>3</v>
      </c>
      <c r="B41" s="8">
        <v>0.7277733762457792</v>
      </c>
      <c r="C41" s="8">
        <v>0.2366034609334621</v>
      </c>
      <c r="D41" s="8">
        <v>3.2999340998131052E-2</v>
      </c>
      <c r="E41" s="8">
        <v>2.511820253214649E-3</v>
      </c>
      <c r="F41" s="8">
        <v>1.094017587002891E-4</v>
      </c>
      <c r="G41" s="8">
        <v>2.5742943272749871E-6</v>
      </c>
      <c r="H41" s="8">
        <v>2.5516385327514069E-8</v>
      </c>
      <c r="I41" s="11">
        <f t="shared" si="9"/>
        <v>0.31058823529411766</v>
      </c>
      <c r="J41" s="12">
        <f t="shared" si="10"/>
        <v>0.2722266237542208</v>
      </c>
      <c r="K41" s="5">
        <f t="shared" si="11"/>
        <v>0.99999999999999989</v>
      </c>
    </row>
    <row r="42" spans="1:11" x14ac:dyDescent="0.25">
      <c r="A42" s="7">
        <v>4</v>
      </c>
      <c r="B42" s="8">
        <v>0.93843339420723437</v>
      </c>
      <c r="C42" s="8">
        <v>5.9778281414506473E-2</v>
      </c>
      <c r="D42" s="8">
        <v>1.7581989758050109E-3</v>
      </c>
      <c r="E42" s="8">
        <v>2.9828386987591491E-5</v>
      </c>
      <c r="F42" s="8">
        <v>2.9546626967000301E-7</v>
      </c>
      <c r="G42" s="8">
        <v>1.5456823612732749E-9</v>
      </c>
      <c r="H42" s="8">
        <v>3.5144849314180199E-12</v>
      </c>
      <c r="I42" s="11">
        <f t="shared" si="9"/>
        <v>6.3385354141656663E-2</v>
      </c>
      <c r="J42" s="12">
        <f t="shared" si="10"/>
        <v>6.1566605792765627E-2</v>
      </c>
      <c r="K42" s="5">
        <f t="shared" si="11"/>
        <v>1</v>
      </c>
    </row>
    <row r="43" spans="1:11" x14ac:dyDescent="0.25">
      <c r="A43" s="7">
        <v>5</v>
      </c>
      <c r="B43" s="8">
        <v>0.98819079650403296</v>
      </c>
      <c r="C43" s="8">
        <v>1.173397282019571E-2</v>
      </c>
      <c r="D43" s="8">
        <v>7.4911788041979167E-5</v>
      </c>
      <c r="E43" s="8">
        <v>3.1804642674699012E-7</v>
      </c>
      <c r="F43" s="8">
        <v>8.405128989560164E-10</v>
      </c>
      <c r="G43" s="8">
        <v>7.8935300337863757E-13</v>
      </c>
      <c r="H43" s="8">
        <v>3.9225947573812831E-16</v>
      </c>
      <c r="I43" s="11">
        <f t="shared" si="9"/>
        <v>1.1884753901560624E-2</v>
      </c>
      <c r="J43" s="12">
        <f t="shared" si="10"/>
        <v>1.1809203495967036E-2</v>
      </c>
      <c r="K43" s="5">
        <f t="shared" si="11"/>
        <v>1</v>
      </c>
    </row>
    <row r="44" spans="1:11" x14ac:dyDescent="0.25">
      <c r="A44" s="7">
        <v>6</v>
      </c>
      <c r="B44" s="8">
        <v>0.99797984312766075</v>
      </c>
      <c r="C44" s="8">
        <v>2.01738023780094E-3</v>
      </c>
      <c r="D44" s="8">
        <v>2.7733103560238881E-6</v>
      </c>
      <c r="E44" s="8">
        <v>3.3209346870935459E-9</v>
      </c>
      <c r="F44" s="8">
        <v>3.24748931781031E-12</v>
      </c>
      <c r="G44" s="8">
        <v>2.3701570660635622E-16</v>
      </c>
      <c r="H44" s="8">
        <v>1.660524474728755E-20</v>
      </c>
      <c r="I44" s="11">
        <f t="shared" si="9"/>
        <v>2.0229368343081915E-3</v>
      </c>
      <c r="J44" s="12">
        <f t="shared" si="10"/>
        <v>2.0201568723392516E-3</v>
      </c>
      <c r="K44" s="5">
        <f t="shared" si="11"/>
        <v>1.0000000000000002</v>
      </c>
    </row>
    <row r="45" spans="1:11" x14ac:dyDescent="0.25">
      <c r="A45" s="7">
        <v>7</v>
      </c>
      <c r="B45" s="8">
        <v>0.99969224905966525</v>
      </c>
      <c r="C45" s="8">
        <v>3.0766369837828582E-4</v>
      </c>
      <c r="D45" s="8">
        <v>8.7210346840567594E-8</v>
      </c>
      <c r="E45" s="8">
        <v>3.1594174228382341E-11</v>
      </c>
      <c r="F45" s="8">
        <v>1.549355430039704E-14</v>
      </c>
      <c r="G45" s="8">
        <v>0</v>
      </c>
      <c r="H45" s="8">
        <v>0</v>
      </c>
      <c r="I45" s="11">
        <f t="shared" si="9"/>
        <v>3.0783821391646392E-4</v>
      </c>
      <c r="J45" s="12">
        <f t="shared" si="10"/>
        <v>3.0775094033475003E-4</v>
      </c>
      <c r="K45" s="5">
        <f t="shared" si="11"/>
        <v>1</v>
      </c>
    </row>
    <row r="46" spans="1:11" x14ac:dyDescent="0.25">
      <c r="A46" s="7">
        <v>8</v>
      </c>
      <c r="B46" s="8">
        <v>0.99995895713996863</v>
      </c>
      <c r="C46" s="8">
        <v>4.1040625126943733E-5</v>
      </c>
      <c r="D46" s="8">
        <v>2.234650977678768E-9</v>
      </c>
      <c r="E46" s="8">
        <v>2.5321594334878149E-13</v>
      </c>
      <c r="F46" s="8">
        <v>7.873630079253156E-17</v>
      </c>
      <c r="G46" s="8">
        <v>0</v>
      </c>
      <c r="H46" s="8">
        <v>0</v>
      </c>
      <c r="I46" s="11">
        <f t="shared" si="9"/>
        <v>4.104509518886187E-5</v>
      </c>
      <c r="J46" s="12">
        <f t="shared" si="10"/>
        <v>4.1042860031370587E-5</v>
      </c>
      <c r="K46" s="5">
        <f t="shared" si="11"/>
        <v>1</v>
      </c>
    </row>
    <row r="48" spans="1:11" x14ac:dyDescent="0.25">
      <c r="A48" s="10" t="s">
        <v>27</v>
      </c>
      <c r="D48" s="2" t="s">
        <v>28</v>
      </c>
    </row>
    <row r="49" spans="1:11" x14ac:dyDescent="0.25">
      <c r="A49" s="3" t="s">
        <v>2</v>
      </c>
      <c r="B49" s="3" t="s">
        <v>19</v>
      </c>
      <c r="C49" s="3" t="s">
        <v>20</v>
      </c>
      <c r="D49" s="3" t="s">
        <v>21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22</v>
      </c>
      <c r="J49" s="3" t="s">
        <v>23</v>
      </c>
      <c r="K49" s="3" t="s">
        <v>15</v>
      </c>
    </row>
    <row r="50" spans="1:11" x14ac:dyDescent="0.25">
      <c r="A50" s="7">
        <v>1</v>
      </c>
      <c r="B50" s="8">
        <v>0</v>
      </c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1</v>
      </c>
      <c r="I50" s="11">
        <f t="shared" ref="I50:I57" si="12">1*C50+2*D50+3*E50+4*F50+5*G50+6*H50</f>
        <v>6</v>
      </c>
      <c r="J50" s="12">
        <f t="shared" ref="J50:J57" si="13">1-B50</f>
        <v>1</v>
      </c>
      <c r="K50" s="5">
        <f t="shared" ref="K50:K57" si="14">SUM(B50:H50)</f>
        <v>1</v>
      </c>
    </row>
    <row r="51" spans="1:11" x14ac:dyDescent="0.25">
      <c r="A51" s="7">
        <v>2</v>
      </c>
      <c r="B51" s="8">
        <v>0</v>
      </c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1</v>
      </c>
      <c r="I51" s="11">
        <f t="shared" si="12"/>
        <v>6</v>
      </c>
      <c r="J51" s="12">
        <f t="shared" si="13"/>
        <v>1</v>
      </c>
      <c r="K51" s="5">
        <f t="shared" si="14"/>
        <v>1</v>
      </c>
    </row>
    <row r="52" spans="1:11" x14ac:dyDescent="0.25">
      <c r="A52" s="7">
        <v>3</v>
      </c>
      <c r="B52" s="8">
        <v>0</v>
      </c>
      <c r="C52" s="8">
        <v>0</v>
      </c>
      <c r="D52" s="8">
        <v>0</v>
      </c>
      <c r="E52" s="8">
        <v>0</v>
      </c>
      <c r="F52" s="8">
        <v>0</v>
      </c>
      <c r="G52" s="8">
        <v>0</v>
      </c>
      <c r="H52" s="8">
        <v>1</v>
      </c>
      <c r="I52" s="11">
        <f t="shared" si="12"/>
        <v>6</v>
      </c>
      <c r="J52" s="12">
        <f t="shared" si="13"/>
        <v>1</v>
      </c>
      <c r="K52" s="5">
        <f t="shared" si="14"/>
        <v>1</v>
      </c>
    </row>
    <row r="53" spans="1:11" x14ac:dyDescent="0.25">
      <c r="A53" s="7">
        <v>4</v>
      </c>
      <c r="B53" s="8">
        <v>1.683290219960866E-6</v>
      </c>
      <c r="C53" s="8">
        <v>7.8568886087157733E-5</v>
      </c>
      <c r="D53" s="8">
        <v>1.5720851133097589E-3</v>
      </c>
      <c r="E53" s="8">
        <v>1.7143298134948699E-2</v>
      </c>
      <c r="F53" s="8">
        <v>0.106967626502551</v>
      </c>
      <c r="G53" s="8">
        <v>0.36093276364332871</v>
      </c>
      <c r="H53" s="8">
        <v>0.51330397442955478</v>
      </c>
      <c r="I53" s="11">
        <f t="shared" si="12"/>
        <v>5.3670108043217288</v>
      </c>
      <c r="J53" s="12">
        <f t="shared" si="13"/>
        <v>0.99999831670978001</v>
      </c>
      <c r="K53" s="5">
        <f t="shared" si="14"/>
        <v>1</v>
      </c>
    </row>
    <row r="54" spans="1:11" x14ac:dyDescent="0.25">
      <c r="A54" s="7">
        <v>5</v>
      </c>
      <c r="B54" s="8">
        <v>4.1095952635763312E-4</v>
      </c>
      <c r="C54" s="8">
        <v>6.1932884870615204E-3</v>
      </c>
      <c r="D54" s="8">
        <v>4.0610527835146702E-2</v>
      </c>
      <c r="E54" s="8">
        <v>0.14632758284693489</v>
      </c>
      <c r="F54" s="8">
        <v>0.30326286794125162</v>
      </c>
      <c r="G54" s="8">
        <v>0.34109019383833028</v>
      </c>
      <c r="H54" s="8">
        <v>0.1621045795249175</v>
      </c>
      <c r="I54" s="11">
        <f t="shared" si="12"/>
        <v>4.4175270108043225</v>
      </c>
      <c r="J54" s="12">
        <f t="shared" si="13"/>
        <v>0.99958904047364239</v>
      </c>
      <c r="K54" s="5">
        <f t="shared" si="14"/>
        <v>1</v>
      </c>
    </row>
    <row r="55" spans="1:11" x14ac:dyDescent="0.25">
      <c r="A55" s="7">
        <v>6</v>
      </c>
      <c r="B55" s="8">
        <v>7.192523382056705E-3</v>
      </c>
      <c r="C55" s="8">
        <v>5.1398405006371772E-2</v>
      </c>
      <c r="D55" s="8">
        <v>0.1631420001752287</v>
      </c>
      <c r="E55" s="8">
        <v>0.28697962671364302</v>
      </c>
      <c r="F55" s="8">
        <v>0.29183303792011828</v>
      </c>
      <c r="G55" s="8">
        <v>0.16157237116119991</v>
      </c>
      <c r="H55" s="8">
        <v>3.7882035641381477E-2</v>
      </c>
      <c r="I55" s="11">
        <f t="shared" si="12"/>
        <v>3.4411075068325196</v>
      </c>
      <c r="J55" s="12">
        <f t="shared" si="13"/>
        <v>0.99280747661794333</v>
      </c>
      <c r="K55" s="5">
        <f t="shared" si="14"/>
        <v>0.99999999999999989</v>
      </c>
    </row>
    <row r="56" spans="1:11" x14ac:dyDescent="0.25">
      <c r="A56" s="7">
        <v>7</v>
      </c>
      <c r="B56" s="8">
        <v>3.9551705533146748E-2</v>
      </c>
      <c r="C56" s="8">
        <v>0.1570595642783929</v>
      </c>
      <c r="D56" s="8">
        <v>0.28461250359898033</v>
      </c>
      <c r="E56" s="8">
        <v>0.28791479722963481</v>
      </c>
      <c r="F56" s="8">
        <v>0.16919296780865731</v>
      </c>
      <c r="G56" s="8">
        <v>5.4279867608320022E-2</v>
      </c>
      <c r="H56" s="8">
        <v>7.3885939428679397E-3</v>
      </c>
      <c r="I56" s="11">
        <f t="shared" si="12"/>
        <v>2.5825317360986952</v>
      </c>
      <c r="J56" s="12">
        <f t="shared" si="13"/>
        <v>0.9604482944668532</v>
      </c>
      <c r="K56" s="5">
        <f t="shared" si="14"/>
        <v>1</v>
      </c>
    </row>
    <row r="57" spans="1:11" x14ac:dyDescent="0.25">
      <c r="A57" s="7">
        <v>8</v>
      </c>
      <c r="B57" s="8">
        <v>0.116199334227209</v>
      </c>
      <c r="C57" s="8">
        <v>0.27847162876380249</v>
      </c>
      <c r="D57" s="8">
        <v>0.31502245282242852</v>
      </c>
      <c r="E57" s="8">
        <v>0.19992407832484699</v>
      </c>
      <c r="F57" s="8">
        <v>7.4070783809365659E-2</v>
      </c>
      <c r="G57" s="8">
        <v>1.5017738920925431E-2</v>
      </c>
      <c r="H57" s="8">
        <v>1.293983131421839E-3</v>
      </c>
      <c r="I57" s="11">
        <f t="shared" si="12"/>
        <v>1.8874244980138215</v>
      </c>
      <c r="J57" s="12">
        <f t="shared" si="13"/>
        <v>0.88380066577279104</v>
      </c>
      <c r="K57" s="5">
        <f t="shared" si="14"/>
        <v>1</v>
      </c>
    </row>
    <row r="59" spans="1:11" x14ac:dyDescent="0.25">
      <c r="A59" s="10" t="s">
        <v>29</v>
      </c>
    </row>
    <row r="60" spans="1:11" x14ac:dyDescent="0.25">
      <c r="A60" s="3" t="s">
        <v>2</v>
      </c>
      <c r="B60" s="3" t="s">
        <v>19</v>
      </c>
      <c r="C60" s="3" t="s">
        <v>20</v>
      </c>
      <c r="D60" s="3" t="s">
        <v>21</v>
      </c>
      <c r="E60" s="3" t="s">
        <v>3</v>
      </c>
      <c r="F60" s="3" t="s">
        <v>4</v>
      </c>
      <c r="G60" s="3" t="s">
        <v>5</v>
      </c>
      <c r="H60" s="3" t="s">
        <v>6</v>
      </c>
      <c r="I60" s="3" t="s">
        <v>22</v>
      </c>
      <c r="J60" s="3" t="s">
        <v>23</v>
      </c>
      <c r="K60" s="3" t="s">
        <v>15</v>
      </c>
    </row>
    <row r="61" spans="1:11" x14ac:dyDescent="0.25">
      <c r="A61" s="7">
        <v>1</v>
      </c>
      <c r="B61" s="8">
        <v>0</v>
      </c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1</v>
      </c>
      <c r="I61" s="11">
        <f t="shared" ref="I61:I68" si="15">1*C61+2*D61+3*E61+4*F61+5*G61+6*H61</f>
        <v>6</v>
      </c>
      <c r="J61" s="12">
        <f t="shared" ref="J61:J68" si="16">1-B61</f>
        <v>1</v>
      </c>
      <c r="K61" s="5">
        <f t="shared" ref="K61:K68" si="17">SUM(B61:H61)</f>
        <v>1</v>
      </c>
    </row>
    <row r="62" spans="1:11" x14ac:dyDescent="0.25">
      <c r="A62" s="7">
        <v>2</v>
      </c>
      <c r="B62" s="8">
        <v>0</v>
      </c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1</v>
      </c>
      <c r="I62" s="11">
        <f t="shared" si="15"/>
        <v>6</v>
      </c>
      <c r="J62" s="12">
        <f t="shared" si="16"/>
        <v>1</v>
      </c>
      <c r="K62" s="5">
        <f t="shared" si="17"/>
        <v>1</v>
      </c>
    </row>
    <row r="63" spans="1:11" x14ac:dyDescent="0.25">
      <c r="A63" s="7">
        <v>3</v>
      </c>
      <c r="B63" s="8">
        <v>4.1184580175998783E-3</v>
      </c>
      <c r="C63" s="8">
        <v>3.6539599554592787E-2</v>
      </c>
      <c r="D63" s="8">
        <v>0.1363798120881573</v>
      </c>
      <c r="E63" s="8">
        <v>0.27368493297554769</v>
      </c>
      <c r="F63" s="8">
        <v>0.31108790476661902</v>
      </c>
      <c r="G63" s="8">
        <v>0.1897237502501028</v>
      </c>
      <c r="H63" s="8">
        <v>4.8465542347380451E-2</v>
      </c>
      <c r="I63" s="11">
        <f t="shared" si="15"/>
        <v>3.6141176470588232</v>
      </c>
      <c r="J63" s="12">
        <f t="shared" si="16"/>
        <v>0.99588154198240009</v>
      </c>
      <c r="K63" s="5">
        <f t="shared" si="17"/>
        <v>0.99999999999999989</v>
      </c>
    </row>
    <row r="64" spans="1:11" x14ac:dyDescent="0.25">
      <c r="A64" s="7">
        <v>4</v>
      </c>
      <c r="B64" s="8">
        <v>0.110772171565982</v>
      </c>
      <c r="C64" s="8">
        <v>0.28956798375725118</v>
      </c>
      <c r="D64" s="8">
        <v>0.32298010268748167</v>
      </c>
      <c r="E64" s="8">
        <v>0.19557337821911119</v>
      </c>
      <c r="F64" s="8">
        <v>6.754102906408882E-2</v>
      </c>
      <c r="G64" s="8">
        <v>1.257995848649493E-2</v>
      </c>
      <c r="H64" s="8">
        <v>9.8537621958998426E-4</v>
      </c>
      <c r="I64" s="11">
        <f t="shared" si="15"/>
        <v>1.8612244897959178</v>
      </c>
      <c r="J64" s="12">
        <f t="shared" si="16"/>
        <v>0.88922782843401804</v>
      </c>
      <c r="K64" s="5">
        <f t="shared" si="17"/>
        <v>0.99999999999999978</v>
      </c>
    </row>
    <row r="65" spans="1:11" x14ac:dyDescent="0.25">
      <c r="A65" s="7">
        <v>5</v>
      </c>
      <c r="B65" s="8">
        <v>0.3885112885600665</v>
      </c>
      <c r="C65" s="8">
        <v>0.39068260549892309</v>
      </c>
      <c r="D65" s="8">
        <v>0.17251122260364929</v>
      </c>
      <c r="E65" s="8">
        <v>4.1963980863419757E-2</v>
      </c>
      <c r="F65" s="8">
        <v>5.870840738905903E-3</v>
      </c>
      <c r="G65" s="8">
        <v>4.4576867912419452E-4</v>
      </c>
      <c r="H65" s="8">
        <v>1.429305591129055E-5</v>
      </c>
      <c r="I65" s="11">
        <f t="shared" si="15"/>
        <v>0.88739495798319334</v>
      </c>
      <c r="J65" s="12">
        <f t="shared" si="16"/>
        <v>0.61148871143993344</v>
      </c>
      <c r="K65" s="5">
        <f t="shared" si="17"/>
        <v>0.99999999999999989</v>
      </c>
    </row>
    <row r="66" spans="1:11" x14ac:dyDescent="0.25">
      <c r="A66" s="7">
        <v>6</v>
      </c>
      <c r="B66" s="8">
        <v>0.66325306172908871</v>
      </c>
      <c r="C66" s="8">
        <v>0.27698854850767901</v>
      </c>
      <c r="D66" s="8">
        <v>5.3582582699090817E-2</v>
      </c>
      <c r="E66" s="8">
        <v>5.7996256679639516E-3</v>
      </c>
      <c r="F66" s="8">
        <v>3.6351472297015071E-4</v>
      </c>
      <c r="G66" s="8">
        <v>1.2485604970218289E-5</v>
      </c>
      <c r="H66" s="8">
        <v>1.8106823716598281E-7</v>
      </c>
      <c r="I66" s="11">
        <f t="shared" si="15"/>
        <v>0.40307016423590714</v>
      </c>
      <c r="J66" s="12">
        <f t="shared" si="16"/>
        <v>0.33674693827091129</v>
      </c>
      <c r="K66" s="5">
        <f t="shared" si="17"/>
        <v>1</v>
      </c>
    </row>
    <row r="67" spans="1:11" x14ac:dyDescent="0.25">
      <c r="A67" s="7">
        <v>7</v>
      </c>
      <c r="B67" s="8">
        <v>0.83824732536318547</v>
      </c>
      <c r="C67" s="8">
        <v>0.14782056368638269</v>
      </c>
      <c r="D67" s="8">
        <v>1.324578693784337E-2</v>
      </c>
      <c r="E67" s="8">
        <v>6.6646156799922884E-4</v>
      </c>
      <c r="F67" s="8">
        <v>1.9540081902971749E-5</v>
      </c>
      <c r="G67" s="8">
        <v>3.201956617402635E-7</v>
      </c>
      <c r="H67" s="8">
        <v>2.1670243553230342E-9</v>
      </c>
      <c r="I67" s="11">
        <f t="shared" si="15"/>
        <v>0.17639129657413383</v>
      </c>
      <c r="J67" s="12">
        <f t="shared" si="16"/>
        <v>0.16175267463681453</v>
      </c>
      <c r="K67" s="5">
        <f t="shared" si="17"/>
        <v>0.99999999999999989</v>
      </c>
    </row>
    <row r="68" spans="1:11" x14ac:dyDescent="0.25">
      <c r="A68" s="7">
        <v>8</v>
      </c>
      <c r="B68" s="8">
        <v>0.9284712865407585</v>
      </c>
      <c r="C68" s="8">
        <v>6.8475723738928088E-2</v>
      </c>
      <c r="D68" s="8">
        <v>2.9815149284486632E-3</v>
      </c>
      <c r="E68" s="8">
        <v>7.0473529484519449E-5</v>
      </c>
      <c r="F68" s="8">
        <v>9.9322219385612162E-7</v>
      </c>
      <c r="G68" s="8">
        <v>8.0148311917011104E-9</v>
      </c>
      <c r="H68" s="8">
        <v>2.5355201615325091E-11</v>
      </c>
      <c r="I68" s="11">
        <f t="shared" si="15"/>
        <v>7.4654187299341548E-2</v>
      </c>
      <c r="J68" s="12">
        <f t="shared" si="16"/>
        <v>7.15287134592415E-2</v>
      </c>
      <c r="K68" s="5">
        <f t="shared" si="17"/>
        <v>1</v>
      </c>
    </row>
    <row r="70" spans="1:11" x14ac:dyDescent="0.25">
      <c r="A70" s="10" t="s">
        <v>30</v>
      </c>
      <c r="D70" s="2" t="s">
        <v>31</v>
      </c>
    </row>
    <row r="71" spans="1:11" x14ac:dyDescent="0.25">
      <c r="A71" s="3" t="s">
        <v>2</v>
      </c>
      <c r="B71" s="3" t="s">
        <v>19</v>
      </c>
      <c r="C71" s="3" t="s">
        <v>20</v>
      </c>
      <c r="D71" s="3" t="s">
        <v>21</v>
      </c>
      <c r="E71" s="3" t="s">
        <v>3</v>
      </c>
      <c r="F71" s="3" t="s">
        <v>4</v>
      </c>
      <c r="G71" s="3" t="s">
        <v>5</v>
      </c>
      <c r="H71" s="3" t="s">
        <v>6</v>
      </c>
      <c r="I71" s="3" t="s">
        <v>22</v>
      </c>
      <c r="J71" s="3" t="s">
        <v>23</v>
      </c>
      <c r="K71" s="3" t="s">
        <v>15</v>
      </c>
    </row>
    <row r="72" spans="1:11" x14ac:dyDescent="0.25">
      <c r="A72" s="7">
        <v>1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8">
        <v>0</v>
      </c>
      <c r="H72" s="8">
        <v>1</v>
      </c>
      <c r="I72" s="11">
        <f t="shared" ref="I72:I79" si="18">1*C72+2*D72+3*E72+4*F72+5*G72+6*H72</f>
        <v>6</v>
      </c>
      <c r="J72" s="12">
        <f t="shared" ref="J72:J79" si="19">1-B72</f>
        <v>1</v>
      </c>
      <c r="K72" s="5">
        <f t="shared" ref="K72:K79" si="20">SUM(B72:H72)</f>
        <v>1</v>
      </c>
    </row>
    <row r="73" spans="1:11" x14ac:dyDescent="0.25">
      <c r="A73" s="7">
        <v>2</v>
      </c>
      <c r="B73" s="8">
        <v>0.20074955702995401</v>
      </c>
      <c r="C73" s="8">
        <v>0.3685432492262552</v>
      </c>
      <c r="D73" s="8">
        <v>0.28332553634137281</v>
      </c>
      <c r="E73" s="8">
        <v>0.1166867272005797</v>
      </c>
      <c r="F73" s="8">
        <v>2.7140284450886999E-2</v>
      </c>
      <c r="G73" s="8">
        <v>3.3788099376426059E-3</v>
      </c>
      <c r="H73" s="8">
        <v>1.758358133086481E-4</v>
      </c>
      <c r="I73" s="11">
        <f t="shared" si="18"/>
        <v>1.4117647058823528</v>
      </c>
      <c r="J73" s="12">
        <f t="shared" si="19"/>
        <v>0.79925044297004599</v>
      </c>
      <c r="K73" s="5">
        <f t="shared" si="20"/>
        <v>1</v>
      </c>
    </row>
    <row r="74" spans="1:11" x14ac:dyDescent="0.25">
      <c r="A74" s="7">
        <v>3</v>
      </c>
      <c r="B74" s="8">
        <v>0.7277733762457792</v>
      </c>
      <c r="C74" s="8">
        <v>0.2366034609334621</v>
      </c>
      <c r="D74" s="8">
        <v>3.2999340998131052E-2</v>
      </c>
      <c r="E74" s="8">
        <v>2.511820253214649E-3</v>
      </c>
      <c r="F74" s="8">
        <v>1.094017587002891E-4</v>
      </c>
      <c r="G74" s="8">
        <v>2.5742943272749871E-6</v>
      </c>
      <c r="H74" s="8">
        <v>2.5516385327514069E-8</v>
      </c>
      <c r="I74" s="11">
        <f t="shared" si="18"/>
        <v>0.31058823529411766</v>
      </c>
      <c r="J74" s="12">
        <f t="shared" si="19"/>
        <v>0.2722266237542208</v>
      </c>
      <c r="K74" s="5">
        <f t="shared" si="20"/>
        <v>0.99999999999999989</v>
      </c>
    </row>
    <row r="75" spans="1:11" x14ac:dyDescent="0.25">
      <c r="A75" s="7">
        <v>4</v>
      </c>
      <c r="B75" s="8">
        <v>0.93843339420723437</v>
      </c>
      <c r="C75" s="8">
        <v>5.9778281414506473E-2</v>
      </c>
      <c r="D75" s="8">
        <v>1.7581989758050109E-3</v>
      </c>
      <c r="E75" s="8">
        <v>2.9828386987591491E-5</v>
      </c>
      <c r="F75" s="8">
        <v>2.9546626967000301E-7</v>
      </c>
      <c r="G75" s="8">
        <v>1.5456823612732749E-9</v>
      </c>
      <c r="H75" s="8">
        <v>3.5144849314180199E-12</v>
      </c>
      <c r="I75" s="11">
        <f t="shared" si="18"/>
        <v>6.3385354141656663E-2</v>
      </c>
      <c r="J75" s="12">
        <f t="shared" si="19"/>
        <v>6.1566605792765627E-2</v>
      </c>
      <c r="K75" s="5">
        <f t="shared" si="20"/>
        <v>1</v>
      </c>
    </row>
    <row r="76" spans="1:11" x14ac:dyDescent="0.25">
      <c r="A76" s="7">
        <v>5</v>
      </c>
      <c r="B76" s="8">
        <v>0.98819079650403296</v>
      </c>
      <c r="C76" s="8">
        <v>1.173397282019571E-2</v>
      </c>
      <c r="D76" s="8">
        <v>7.4911788041979167E-5</v>
      </c>
      <c r="E76" s="8">
        <v>3.1804642674699012E-7</v>
      </c>
      <c r="F76" s="8">
        <v>8.405128989560164E-10</v>
      </c>
      <c r="G76" s="8">
        <v>7.8935300337863757E-13</v>
      </c>
      <c r="H76" s="8">
        <v>3.9225947573812831E-16</v>
      </c>
      <c r="I76" s="11">
        <f t="shared" si="18"/>
        <v>1.1884753901560624E-2</v>
      </c>
      <c r="J76" s="12">
        <f t="shared" si="19"/>
        <v>1.1809203495967036E-2</v>
      </c>
      <c r="K76" s="5">
        <f t="shared" si="20"/>
        <v>1</v>
      </c>
    </row>
    <row r="77" spans="1:11" x14ac:dyDescent="0.25">
      <c r="A77" s="7">
        <v>6</v>
      </c>
      <c r="B77" s="8">
        <v>0.99797984312766075</v>
      </c>
      <c r="C77" s="8">
        <v>2.01738023780094E-3</v>
      </c>
      <c r="D77" s="8">
        <v>2.7733103560238881E-6</v>
      </c>
      <c r="E77" s="8">
        <v>3.3209346870935459E-9</v>
      </c>
      <c r="F77" s="8">
        <v>3.24748931781031E-12</v>
      </c>
      <c r="G77" s="8">
        <v>2.3701570660635622E-16</v>
      </c>
      <c r="H77" s="8">
        <v>1.660524474728755E-20</v>
      </c>
      <c r="I77" s="11">
        <f t="shared" si="18"/>
        <v>2.0229368343081915E-3</v>
      </c>
      <c r="J77" s="12">
        <f t="shared" si="19"/>
        <v>2.0201568723392516E-3</v>
      </c>
      <c r="K77" s="5">
        <f t="shared" si="20"/>
        <v>1.0000000000000002</v>
      </c>
    </row>
    <row r="78" spans="1:11" x14ac:dyDescent="0.25">
      <c r="A78" s="7">
        <v>7</v>
      </c>
      <c r="B78" s="8">
        <v>0.99969224905966525</v>
      </c>
      <c r="C78" s="8">
        <v>3.0766369837828582E-4</v>
      </c>
      <c r="D78" s="8">
        <v>8.7210346840567594E-8</v>
      </c>
      <c r="E78" s="8">
        <v>3.1594174228382341E-11</v>
      </c>
      <c r="F78" s="8">
        <v>1.549355430039704E-14</v>
      </c>
      <c r="G78" s="8">
        <v>0</v>
      </c>
      <c r="H78" s="8">
        <v>0</v>
      </c>
      <c r="I78" s="11">
        <f t="shared" si="18"/>
        <v>3.0783821391646392E-4</v>
      </c>
      <c r="J78" s="12">
        <f t="shared" si="19"/>
        <v>3.0775094033475003E-4</v>
      </c>
      <c r="K78" s="5">
        <f t="shared" si="20"/>
        <v>1</v>
      </c>
    </row>
    <row r="79" spans="1:11" x14ac:dyDescent="0.25">
      <c r="A79" s="7">
        <v>8</v>
      </c>
      <c r="B79" s="8">
        <v>0.99995895713996863</v>
      </c>
      <c r="C79" s="8">
        <v>4.1040625126943733E-5</v>
      </c>
      <c r="D79" s="8">
        <v>2.234650977678768E-9</v>
      </c>
      <c r="E79" s="8">
        <v>2.5321594334878149E-13</v>
      </c>
      <c r="F79" s="8">
        <v>7.873630079253156E-17</v>
      </c>
      <c r="G79" s="8">
        <v>0</v>
      </c>
      <c r="H79" s="8">
        <v>0</v>
      </c>
      <c r="I79" s="11">
        <f t="shared" si="18"/>
        <v>4.104509518886187E-5</v>
      </c>
      <c r="J79" s="12">
        <f t="shared" si="19"/>
        <v>4.1042860031370587E-5</v>
      </c>
      <c r="K79" s="5">
        <f t="shared" si="20"/>
        <v>1</v>
      </c>
    </row>
  </sheetData>
  <conditionalFormatting sqref="B6:H13">
    <cfRule type="colorScale" priority="1">
      <colorScale>
        <cfvo type="num" val="0"/>
        <cfvo type="num" val="1"/>
        <color rgb="FFFFFFFF"/>
        <color rgb="FF4F9A6E"/>
      </colorScale>
    </cfRule>
  </conditionalFormatting>
  <conditionalFormatting sqref="B17:H24">
    <cfRule type="colorScale" priority="2">
      <colorScale>
        <cfvo type="num" val="0"/>
        <cfvo type="num" val="1"/>
        <color rgb="FFFFFFFF"/>
        <color rgb="FF4F9A6E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4F9A6E"/>
      </colorScale>
    </cfRule>
  </conditionalFormatting>
  <conditionalFormatting sqref="B39:H46">
    <cfRule type="colorScale" priority="4">
      <colorScale>
        <cfvo type="num" val="0"/>
        <cfvo type="num" val="1"/>
        <color rgb="FFFFFFFF"/>
        <color rgb="FF4F9A6E"/>
      </colorScale>
    </cfRule>
  </conditionalFormatting>
  <conditionalFormatting sqref="B50:H57">
    <cfRule type="colorScale" priority="5">
      <colorScale>
        <cfvo type="num" val="0"/>
        <cfvo type="num" val="1"/>
        <color rgb="FFFFFFFF"/>
        <color rgb="FF4F9A6E"/>
      </colorScale>
    </cfRule>
  </conditionalFormatting>
  <conditionalFormatting sqref="B61:H68">
    <cfRule type="colorScale" priority="6">
      <colorScale>
        <cfvo type="num" val="0"/>
        <cfvo type="num" val="1"/>
        <color rgb="FFFFFFFF"/>
        <color rgb="FF4F9A6E"/>
      </colorScale>
    </cfRule>
  </conditionalFormatting>
  <conditionalFormatting sqref="B72:H79">
    <cfRule type="colorScale" priority="7">
      <colorScale>
        <cfvo type="num" val="0"/>
        <cfvo type="num" val="1"/>
        <color rgb="FFFFFFFF"/>
        <color rgb="FF4F9A6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2"/>
  <sheetViews>
    <sheetView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5" x14ac:dyDescent="0.25"/>
  <cols>
    <col min="1" max="1" width="9" customWidth="1"/>
    <col min="2" max="9" width="11" customWidth="1"/>
    <col min="10" max="10" width="12" customWidth="1"/>
    <col min="11" max="11" width="11" customWidth="1"/>
    <col min="12" max="12" width="9" customWidth="1"/>
  </cols>
  <sheetData>
    <row r="1" spans="1:12" ht="16.5" x14ac:dyDescent="0.25">
      <c r="A1" s="1" t="s">
        <v>38</v>
      </c>
    </row>
    <row r="2" spans="1:12" x14ac:dyDescent="0.25">
      <c r="A2" s="2" t="s">
        <v>39</v>
      </c>
    </row>
    <row r="4" spans="1:12" x14ac:dyDescent="0.25">
      <c r="A4" s="10" t="s">
        <v>18</v>
      </c>
    </row>
    <row r="5" spans="1:12" x14ac:dyDescent="0.25">
      <c r="A5" s="3" t="s">
        <v>2</v>
      </c>
      <c r="B5" s="3" t="s">
        <v>19</v>
      </c>
      <c r="C5" s="3" t="s">
        <v>20</v>
      </c>
      <c r="D5" s="3" t="s">
        <v>21</v>
      </c>
      <c r="E5" s="3" t="s">
        <v>3</v>
      </c>
      <c r="F5" s="3" t="s">
        <v>4</v>
      </c>
      <c r="G5" s="3" t="s">
        <v>5</v>
      </c>
      <c r="H5" s="3" t="s">
        <v>6</v>
      </c>
      <c r="I5" s="3" t="s">
        <v>7</v>
      </c>
      <c r="J5" s="3" t="s">
        <v>22</v>
      </c>
      <c r="K5" s="3" t="s">
        <v>23</v>
      </c>
      <c r="L5" s="3" t="s">
        <v>15</v>
      </c>
    </row>
    <row r="6" spans="1:12" x14ac:dyDescent="0.25">
      <c r="A6" s="7">
        <v>1</v>
      </c>
      <c r="B6" s="8">
        <v>1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11">
        <f t="shared" ref="J6:J12" si="0">1*C6+2*D6+3*E6+4*F6+5*G6+6*H6+7*I6</f>
        <v>0</v>
      </c>
      <c r="K6" s="12">
        <f t="shared" ref="K6:K12" si="1">1-B6</f>
        <v>0</v>
      </c>
      <c r="L6" s="5">
        <f t="shared" ref="L6:L12" si="2">SUM(B6:I6)</f>
        <v>1</v>
      </c>
    </row>
    <row r="7" spans="1:12" x14ac:dyDescent="0.25">
      <c r="A7" s="7">
        <v>2</v>
      </c>
      <c r="B7" s="8">
        <v>1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11">
        <f t="shared" si="0"/>
        <v>0</v>
      </c>
      <c r="K7" s="12">
        <f t="shared" si="1"/>
        <v>0</v>
      </c>
      <c r="L7" s="5">
        <f t="shared" si="2"/>
        <v>1</v>
      </c>
    </row>
    <row r="8" spans="1:12" x14ac:dyDescent="0.25">
      <c r="A8" s="7">
        <v>3</v>
      </c>
      <c r="B8" s="8">
        <v>1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11">
        <f t="shared" si="0"/>
        <v>0</v>
      </c>
      <c r="K8" s="12">
        <f t="shared" si="1"/>
        <v>0</v>
      </c>
      <c r="L8" s="5">
        <f t="shared" si="2"/>
        <v>1</v>
      </c>
    </row>
    <row r="9" spans="1:12" x14ac:dyDescent="0.25">
      <c r="A9" s="7">
        <v>4</v>
      </c>
      <c r="B9" s="8">
        <v>0.45951572077489289</v>
      </c>
      <c r="C9" s="8">
        <v>0.3765177755826325</v>
      </c>
      <c r="D9" s="8">
        <v>0.13371134600375309</v>
      </c>
      <c r="E9" s="8">
        <v>2.6738885166363691E-2</v>
      </c>
      <c r="F9" s="8">
        <v>3.2618865697965271E-3</v>
      </c>
      <c r="G9" s="8">
        <v>2.4378721675574679E-4</v>
      </c>
      <c r="H9" s="8">
        <v>1.040129484976844E-5</v>
      </c>
      <c r="I9" s="8">
        <v>1.973909557082314E-7</v>
      </c>
      <c r="J9" s="11">
        <f t="shared" si="0"/>
        <v>0.73848739495798321</v>
      </c>
      <c r="K9" s="12">
        <f t="shared" si="1"/>
        <v>0.54048427922510711</v>
      </c>
      <c r="L9" s="5">
        <f t="shared" si="2"/>
        <v>0.99999999999999989</v>
      </c>
    </row>
    <row r="10" spans="1:12" x14ac:dyDescent="0.25">
      <c r="A10" s="7">
        <v>5</v>
      </c>
      <c r="B10" s="8">
        <v>0.12012299469488311</v>
      </c>
      <c r="C10" s="8">
        <v>0.29387109381024068</v>
      </c>
      <c r="D10" s="8">
        <v>0.31220239700343327</v>
      </c>
      <c r="E10" s="8">
        <v>0.1872760301905316</v>
      </c>
      <c r="F10" s="8">
        <v>6.8797239791604528E-2</v>
      </c>
      <c r="G10" s="8">
        <v>1.557639509424266E-2</v>
      </c>
      <c r="H10" s="8">
        <v>2.0333715368242209E-3</v>
      </c>
      <c r="I10" s="8">
        <v>1.204778782398873E-4</v>
      </c>
      <c r="J10" s="11">
        <f t="shared" si="0"/>
        <v>1.8462184873949579</v>
      </c>
      <c r="K10" s="12">
        <f t="shared" si="1"/>
        <v>0.87987700530511692</v>
      </c>
      <c r="L10" s="5">
        <f t="shared" si="2"/>
        <v>1</v>
      </c>
    </row>
    <row r="11" spans="1:12" x14ac:dyDescent="0.25">
      <c r="A11" s="7">
        <v>6</v>
      </c>
      <c r="B11" s="8">
        <v>2.2198075322055859E-2</v>
      </c>
      <c r="C11" s="8">
        <v>0.1097877222352793</v>
      </c>
      <c r="D11" s="8">
        <v>0.23614013235836179</v>
      </c>
      <c r="E11" s="8">
        <v>0.28737686788300648</v>
      </c>
      <c r="F11" s="8">
        <v>0.2148374788658686</v>
      </c>
      <c r="G11" s="8">
        <v>9.949631292579908E-2</v>
      </c>
      <c r="H11" s="8">
        <v>2.679936819883405E-2</v>
      </c>
      <c r="I11" s="8">
        <v>3.364042210794697E-3</v>
      </c>
      <c r="J11" s="11">
        <f t="shared" si="0"/>
        <v>2.9853745753620591</v>
      </c>
      <c r="K11" s="12">
        <f t="shared" si="1"/>
        <v>0.97780192467794413</v>
      </c>
      <c r="L11" s="5">
        <f t="shared" si="2"/>
        <v>0.99999999999999967</v>
      </c>
    </row>
    <row r="12" spans="1:12" x14ac:dyDescent="0.25">
      <c r="A12" s="7">
        <v>7</v>
      </c>
      <c r="B12" s="8">
        <v>3.3374339271952679E-3</v>
      </c>
      <c r="C12" s="8">
        <v>2.8358120109708718E-2</v>
      </c>
      <c r="D12" s="8">
        <v>0.10490517629999389</v>
      </c>
      <c r="E12" s="8">
        <v>0.2199416310535437</v>
      </c>
      <c r="F12" s="8">
        <v>0.28390926409831729</v>
      </c>
      <c r="G12" s="8">
        <v>0.2281119465795822</v>
      </c>
      <c r="H12" s="8">
        <v>0.1071988427982643</v>
      </c>
      <c r="I12" s="8">
        <v>2.4237585133394711E-2</v>
      </c>
      <c r="J12" s="11">
        <f t="shared" si="0"/>
        <v>3.9870463078848566</v>
      </c>
      <c r="K12" s="12">
        <f t="shared" si="1"/>
        <v>0.99666256607280468</v>
      </c>
      <c r="L12" s="5">
        <f t="shared" si="2"/>
        <v>1.0000000000000002</v>
      </c>
    </row>
    <row r="14" spans="1:12" x14ac:dyDescent="0.25">
      <c r="A14" s="10" t="s">
        <v>24</v>
      </c>
    </row>
    <row r="15" spans="1:12" x14ac:dyDescent="0.25">
      <c r="A15" s="3" t="s">
        <v>2</v>
      </c>
      <c r="B15" s="3" t="s">
        <v>19</v>
      </c>
      <c r="C15" s="3" t="s">
        <v>20</v>
      </c>
      <c r="D15" s="3" t="s">
        <v>21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22</v>
      </c>
      <c r="K15" s="3" t="s">
        <v>23</v>
      </c>
      <c r="L15" s="3" t="s">
        <v>15</v>
      </c>
    </row>
    <row r="16" spans="1:12" x14ac:dyDescent="0.25">
      <c r="A16" s="7">
        <v>1</v>
      </c>
      <c r="B16" s="8">
        <v>1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11">
        <f t="shared" ref="J16:J22" si="3">1*C16+2*D16+3*E16+4*F16+5*G16+6*H16+7*I16</f>
        <v>0</v>
      </c>
      <c r="K16" s="12">
        <f t="shared" ref="K16:K22" si="4">1-B16</f>
        <v>0</v>
      </c>
      <c r="L16" s="5">
        <f t="shared" ref="L16:L22" si="5">SUM(B16:I16)</f>
        <v>1</v>
      </c>
    </row>
    <row r="17" spans="1:12" x14ac:dyDescent="0.25">
      <c r="A17" s="7">
        <v>2</v>
      </c>
      <c r="B17" s="8">
        <v>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11">
        <f t="shared" si="3"/>
        <v>0</v>
      </c>
      <c r="K17" s="12">
        <f t="shared" si="4"/>
        <v>0</v>
      </c>
      <c r="L17" s="5">
        <f t="shared" si="5"/>
        <v>1</v>
      </c>
    </row>
    <row r="18" spans="1:12" x14ac:dyDescent="0.25">
      <c r="A18" s="7">
        <v>3</v>
      </c>
      <c r="B18" s="8">
        <v>2.9352557205645721E-2</v>
      </c>
      <c r="C18" s="8">
        <v>0.13379089599214311</v>
      </c>
      <c r="D18" s="8">
        <v>0.26266043789893068</v>
      </c>
      <c r="E18" s="8">
        <v>0.28810438129055999</v>
      </c>
      <c r="F18" s="8">
        <v>0.19084425141664871</v>
      </c>
      <c r="G18" s="8">
        <v>7.6425186073431003E-2</v>
      </c>
      <c r="H18" s="8">
        <v>1.7154470789214581E-2</v>
      </c>
      <c r="I18" s="8">
        <v>1.667819333426368E-3</v>
      </c>
      <c r="J18" s="11">
        <f t="shared" si="3"/>
        <v>2.7835294117647069</v>
      </c>
      <c r="K18" s="12">
        <f t="shared" si="4"/>
        <v>0.97064744279435433</v>
      </c>
      <c r="L18" s="5">
        <f t="shared" si="5"/>
        <v>1.0000000000000002</v>
      </c>
    </row>
    <row r="19" spans="1:12" x14ac:dyDescent="0.25">
      <c r="A19" s="7">
        <v>4</v>
      </c>
      <c r="B19" s="8">
        <v>2.2194861430197489E-3</v>
      </c>
      <c r="C19" s="8">
        <v>2.1494159635685101E-2</v>
      </c>
      <c r="D19" s="8">
        <v>8.9554825758790174E-2</v>
      </c>
      <c r="E19" s="8">
        <v>0.2081810494531407</v>
      </c>
      <c r="F19" s="8">
        <v>0.29174477251038761</v>
      </c>
      <c r="G19" s="8">
        <v>0.24660289755073941</v>
      </c>
      <c r="H19" s="8">
        <v>0.1164761663321506</v>
      </c>
      <c r="I19" s="8">
        <v>2.3726642616086691E-2</v>
      </c>
      <c r="J19" s="11">
        <f t="shared" si="3"/>
        <v>4.0900840336134454</v>
      </c>
      <c r="K19" s="12">
        <f t="shared" si="4"/>
        <v>0.9977805138569803</v>
      </c>
      <c r="L19" s="5">
        <f t="shared" si="5"/>
        <v>1</v>
      </c>
    </row>
    <row r="20" spans="1:12" x14ac:dyDescent="0.25">
      <c r="A20" s="7">
        <v>5</v>
      </c>
      <c r="B20" s="8">
        <v>1.997822120168758E-3</v>
      </c>
      <c r="C20" s="8">
        <v>2.0012719748354429E-2</v>
      </c>
      <c r="D20" s="8">
        <v>8.5887410692936123E-2</v>
      </c>
      <c r="E20" s="8">
        <v>0.20470423580966091</v>
      </c>
      <c r="F20" s="8">
        <v>0.29263239638864752</v>
      </c>
      <c r="G20" s="8">
        <v>0.25091026394766108</v>
      </c>
      <c r="H20" s="8">
        <v>0.1194798179461196</v>
      </c>
      <c r="I20" s="8">
        <v>2.4375333346451471E-2</v>
      </c>
      <c r="J20" s="11">
        <f t="shared" si="3"/>
        <v>4.1184873949579828</v>
      </c>
      <c r="K20" s="12">
        <f t="shared" si="4"/>
        <v>0.99800217787983125</v>
      </c>
      <c r="L20" s="5">
        <f t="shared" si="5"/>
        <v>0.99999999999999989</v>
      </c>
    </row>
    <row r="21" spans="1:12" x14ac:dyDescent="0.25">
      <c r="A21" s="7">
        <v>6</v>
      </c>
      <c r="B21" s="8">
        <v>7.4927335810175142E-3</v>
      </c>
      <c r="C21" s="8">
        <v>5.2178608220901181E-2</v>
      </c>
      <c r="D21" s="8">
        <v>0.15799674421950979</v>
      </c>
      <c r="E21" s="8">
        <v>0.26832256619180378</v>
      </c>
      <c r="F21" s="8">
        <v>0.2754602465805282</v>
      </c>
      <c r="G21" s="8">
        <v>0.17069386461326089</v>
      </c>
      <c r="H21" s="8">
        <v>5.9059861078551712E-2</v>
      </c>
      <c r="I21" s="8">
        <v>8.7953755144270784E-3</v>
      </c>
      <c r="J21" s="11">
        <f t="shared" si="3"/>
        <v>3.544376899696049</v>
      </c>
      <c r="K21" s="12">
        <f t="shared" si="4"/>
        <v>0.99250726641898246</v>
      </c>
      <c r="L21" s="5">
        <f t="shared" si="5"/>
        <v>1</v>
      </c>
    </row>
    <row r="22" spans="1:12" x14ac:dyDescent="0.25">
      <c r="A22" s="7">
        <v>7</v>
      </c>
      <c r="B22" s="8">
        <v>3.078605671137101E-2</v>
      </c>
      <c r="C22" s="8">
        <v>0.1318470497636384</v>
      </c>
      <c r="D22" s="8">
        <v>0.25649628365214378</v>
      </c>
      <c r="E22" s="8">
        <v>0.28517746182739928</v>
      </c>
      <c r="F22" s="8">
        <v>0.19430770156371421</v>
      </c>
      <c r="G22" s="8">
        <v>8.0654078210977781E-2</v>
      </c>
      <c r="H22" s="8">
        <v>1.882893164317084E-2</v>
      </c>
      <c r="I22" s="8">
        <v>1.9024366275847389E-3</v>
      </c>
      <c r="J22" s="11">
        <f t="shared" si="3"/>
        <v>2.8071638461119877</v>
      </c>
      <c r="K22" s="12">
        <f t="shared" si="4"/>
        <v>0.96921394328862898</v>
      </c>
      <c r="L22" s="5">
        <f t="shared" si="5"/>
        <v>1</v>
      </c>
    </row>
    <row r="24" spans="1:12" x14ac:dyDescent="0.25">
      <c r="A24" s="10" t="s">
        <v>25</v>
      </c>
    </row>
    <row r="25" spans="1:12" x14ac:dyDescent="0.25">
      <c r="A25" s="3" t="s">
        <v>2</v>
      </c>
      <c r="B25" s="3" t="s">
        <v>19</v>
      </c>
      <c r="C25" s="3" t="s">
        <v>20</v>
      </c>
      <c r="D25" s="3" t="s">
        <v>21</v>
      </c>
      <c r="E25" s="3" t="s">
        <v>3</v>
      </c>
      <c r="F25" s="3" t="s">
        <v>4</v>
      </c>
      <c r="G25" s="3" t="s">
        <v>5</v>
      </c>
      <c r="H25" s="3" t="s">
        <v>6</v>
      </c>
      <c r="I25" s="3" t="s">
        <v>7</v>
      </c>
      <c r="J25" s="3" t="s">
        <v>22</v>
      </c>
      <c r="K25" s="3" t="s">
        <v>23</v>
      </c>
      <c r="L25" s="3" t="s">
        <v>15</v>
      </c>
    </row>
    <row r="26" spans="1:12" x14ac:dyDescent="0.25">
      <c r="A26" s="7">
        <v>1</v>
      </c>
      <c r="B26" s="8">
        <v>1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11">
        <f t="shared" ref="J26:J32" si="6">1*C26+2*D26+3*E26+4*F26+5*G26+6*H26+7*I26</f>
        <v>0</v>
      </c>
      <c r="K26" s="12">
        <f t="shared" ref="K26:K32" si="7">1-B26</f>
        <v>0</v>
      </c>
      <c r="L26" s="5">
        <f t="shared" ref="L26:L32" si="8">SUM(B26:I26)</f>
        <v>1</v>
      </c>
    </row>
    <row r="27" spans="1:12" x14ac:dyDescent="0.25">
      <c r="A27" s="7">
        <v>2</v>
      </c>
      <c r="B27" s="8">
        <v>4.1912427849202113E-5</v>
      </c>
      <c r="C27" s="8">
        <v>9.3746369821612232E-4</v>
      </c>
      <c r="D27" s="8">
        <v>9.0134436871007577E-3</v>
      </c>
      <c r="E27" s="8">
        <v>4.8304924240235067E-2</v>
      </c>
      <c r="F27" s="8">
        <v>0.15589684836077949</v>
      </c>
      <c r="G27" s="8">
        <v>0.30311764186145418</v>
      </c>
      <c r="H27" s="8">
        <v>0.32892791014347972</v>
      </c>
      <c r="I27" s="8">
        <v>0.15375985558088551</v>
      </c>
      <c r="J27" s="11">
        <f t="shared" si="6"/>
        <v>5.3529411764705888</v>
      </c>
      <c r="K27" s="12">
        <f t="shared" si="7"/>
        <v>0.99995808757215077</v>
      </c>
      <c r="L27" s="5">
        <f t="shared" si="8"/>
        <v>1</v>
      </c>
    </row>
    <row r="28" spans="1:12" x14ac:dyDescent="0.25">
      <c r="A28" s="7">
        <v>3</v>
      </c>
      <c r="B28" s="8">
        <v>3.7530152964452891E-3</v>
      </c>
      <c r="C28" s="8">
        <v>3.1949165244679063E-2</v>
      </c>
      <c r="D28" s="8">
        <v>0.1168643046797111</v>
      </c>
      <c r="E28" s="8">
        <v>0.23802697952922719</v>
      </c>
      <c r="F28" s="8">
        <v>0.29148421980146139</v>
      </c>
      <c r="G28" s="8">
        <v>0.21456789064142601</v>
      </c>
      <c r="H28" s="8">
        <v>8.7898372195284805E-2</v>
      </c>
      <c r="I28" s="8">
        <v>1.545605261176518E-2</v>
      </c>
      <c r="J28" s="11">
        <f t="shared" si="6"/>
        <v>3.8541176470588239</v>
      </c>
      <c r="K28" s="12">
        <f t="shared" si="7"/>
        <v>0.99624698470355466</v>
      </c>
      <c r="L28" s="5">
        <f t="shared" si="8"/>
        <v>1</v>
      </c>
    </row>
    <row r="29" spans="1:12" x14ac:dyDescent="0.25">
      <c r="A29" s="7">
        <v>4</v>
      </c>
      <c r="B29" s="8">
        <v>8.5118929117164135E-2</v>
      </c>
      <c r="C29" s="8">
        <v>0.247383560037647</v>
      </c>
      <c r="D29" s="8">
        <v>0.31438601181804038</v>
      </c>
      <c r="E29" s="8">
        <v>0.2252736004635969</v>
      </c>
      <c r="F29" s="8">
        <v>9.7978455791596114E-2</v>
      </c>
      <c r="G29" s="8">
        <v>2.5810145612466941E-2</v>
      </c>
      <c r="H29" s="8">
        <v>3.8070248130180639E-3</v>
      </c>
      <c r="I29" s="8">
        <v>2.422723464703304E-4</v>
      </c>
      <c r="J29" s="11">
        <f t="shared" si="6"/>
        <v>2.0974789915966383</v>
      </c>
      <c r="K29" s="12">
        <f t="shared" si="7"/>
        <v>0.91488107088283588</v>
      </c>
      <c r="L29" s="5">
        <f t="shared" si="8"/>
        <v>1</v>
      </c>
    </row>
    <row r="30" spans="1:12" x14ac:dyDescent="0.25">
      <c r="A30" s="7">
        <v>5</v>
      </c>
      <c r="B30" s="8">
        <v>0.33794167116158219</v>
      </c>
      <c r="C30" s="8">
        <v>0.38841221905431639</v>
      </c>
      <c r="D30" s="8">
        <v>0.2015100505806838</v>
      </c>
      <c r="E30" s="8">
        <v>5.9921172402156157E-2</v>
      </c>
      <c r="F30" s="8">
        <v>1.092187265692098E-2</v>
      </c>
      <c r="G30" s="8">
        <v>1.21490398207067E-3</v>
      </c>
      <c r="H30" s="8">
        <v>7.6047667507397757E-5</v>
      </c>
      <c r="I30" s="8">
        <v>2.0624947624824581E-6</v>
      </c>
      <c r="J30" s="11">
        <f t="shared" si="6"/>
        <v>1.0214285714285714</v>
      </c>
      <c r="K30" s="12">
        <f t="shared" si="7"/>
        <v>0.66205832883841786</v>
      </c>
      <c r="L30" s="5">
        <f t="shared" si="8"/>
        <v>1</v>
      </c>
    </row>
    <row r="31" spans="1:12" x14ac:dyDescent="0.25">
      <c r="A31" s="7">
        <v>6</v>
      </c>
      <c r="B31" s="8">
        <v>0.62178019474715951</v>
      </c>
      <c r="C31" s="8">
        <v>0.29940391572163533</v>
      </c>
      <c r="D31" s="8">
        <v>6.8805258432497685E-2</v>
      </c>
      <c r="E31" s="8">
        <v>9.2095921872632092E-3</v>
      </c>
      <c r="F31" s="8">
        <v>7.6111176023148711E-4</v>
      </c>
      <c r="G31" s="8">
        <v>3.8801061830893253E-5</v>
      </c>
      <c r="H31" s="8">
        <v>1.1121556428906989E-6</v>
      </c>
      <c r="I31" s="8">
        <v>1.393373915427625E-8</v>
      </c>
      <c r="J31" s="11">
        <f t="shared" si="6"/>
        <v>0.46788843196853219</v>
      </c>
      <c r="K31" s="12">
        <f t="shared" si="7"/>
        <v>0.37821980525284049</v>
      </c>
      <c r="L31" s="5">
        <f t="shared" si="8"/>
        <v>1</v>
      </c>
    </row>
    <row r="32" spans="1:12" x14ac:dyDescent="0.25">
      <c r="A32" s="7">
        <v>7</v>
      </c>
      <c r="B32" s="8">
        <v>0.81473141060756893</v>
      </c>
      <c r="C32" s="8">
        <v>0.16630947448023689</v>
      </c>
      <c r="D32" s="8">
        <v>1.7801537062936291E-2</v>
      </c>
      <c r="E32" s="8">
        <v>1.113246381075063E-3</v>
      </c>
      <c r="F32" s="8">
        <v>4.3258062250349872E-5</v>
      </c>
      <c r="G32" s="8">
        <v>1.059101369658863E-6</v>
      </c>
      <c r="H32" s="8">
        <v>1.421687038374207E-8</v>
      </c>
      <c r="I32" s="8">
        <v>8.7692420703696284E-11</v>
      </c>
      <c r="J32" s="11">
        <f t="shared" si="6"/>
        <v>0.2054307014202536</v>
      </c>
      <c r="K32" s="12">
        <f t="shared" si="7"/>
        <v>0.18526858939243107</v>
      </c>
      <c r="L32" s="5">
        <f t="shared" si="8"/>
        <v>0.99999999999999989</v>
      </c>
    </row>
    <row r="34" spans="1:12" x14ac:dyDescent="0.25">
      <c r="A34" s="10" t="s">
        <v>26</v>
      </c>
    </row>
    <row r="35" spans="1:12" x14ac:dyDescent="0.25">
      <c r="A35" s="3" t="s">
        <v>2</v>
      </c>
      <c r="B35" s="3" t="s">
        <v>19</v>
      </c>
      <c r="C35" s="3" t="s">
        <v>20</v>
      </c>
      <c r="D35" s="3" t="s">
        <v>21</v>
      </c>
      <c r="E35" s="3" t="s">
        <v>3</v>
      </c>
      <c r="F35" s="3" t="s">
        <v>4</v>
      </c>
      <c r="G35" s="3" t="s">
        <v>5</v>
      </c>
      <c r="H35" s="3" t="s">
        <v>6</v>
      </c>
      <c r="I35" s="3" t="s">
        <v>7</v>
      </c>
      <c r="J35" s="3" t="s">
        <v>22</v>
      </c>
      <c r="K35" s="3" t="s">
        <v>23</v>
      </c>
      <c r="L35" s="3" t="s">
        <v>15</v>
      </c>
    </row>
    <row r="36" spans="1:12" x14ac:dyDescent="0.25">
      <c r="A36" s="7">
        <v>1</v>
      </c>
      <c r="B36" s="8">
        <v>0</v>
      </c>
      <c r="C36" s="8">
        <v>0</v>
      </c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1</v>
      </c>
      <c r="J36" s="11">
        <f t="shared" ref="J36:J42" si="9">1*C36+2*D36+3*E36+4*F36+5*G36+6*H36+7*I36</f>
        <v>7</v>
      </c>
      <c r="K36" s="12">
        <f t="shared" ref="K36:K42" si="10">1-B36</f>
        <v>1</v>
      </c>
      <c r="L36" s="5">
        <f t="shared" ref="L36:L42" si="11">SUM(B36:I36)</f>
        <v>1</v>
      </c>
    </row>
    <row r="37" spans="1:12" x14ac:dyDescent="0.25">
      <c r="A37" s="7">
        <v>2</v>
      </c>
      <c r="B37" s="8">
        <v>0.15375985558088551</v>
      </c>
      <c r="C37" s="8">
        <v>0.32892791014347972</v>
      </c>
      <c r="D37" s="8">
        <v>0.30311764186145418</v>
      </c>
      <c r="E37" s="8">
        <v>0.15589684836077949</v>
      </c>
      <c r="F37" s="8">
        <v>4.8304924240235067E-2</v>
      </c>
      <c r="G37" s="8">
        <v>9.0134436871007577E-3</v>
      </c>
      <c r="H37" s="8">
        <v>9.3746369821612232E-4</v>
      </c>
      <c r="I37" s="8">
        <v>4.1912427849202113E-5</v>
      </c>
      <c r="J37" s="11">
        <f t="shared" si="9"/>
        <v>1.6470588235294119</v>
      </c>
      <c r="K37" s="12">
        <f t="shared" si="10"/>
        <v>0.84624014441911455</v>
      </c>
      <c r="L37" s="5">
        <f t="shared" si="11"/>
        <v>1</v>
      </c>
    </row>
    <row r="38" spans="1:12" x14ac:dyDescent="0.25">
      <c r="A38" s="7">
        <v>3</v>
      </c>
      <c r="B38" s="8">
        <v>0.69042071961782614</v>
      </c>
      <c r="C38" s="8">
        <v>0.26146859639567221</v>
      </c>
      <c r="D38" s="8">
        <v>4.3706324080100709E-2</v>
      </c>
      <c r="E38" s="8">
        <v>4.1545888621379408E-3</v>
      </c>
      <c r="F38" s="8">
        <v>2.4109658098769529E-4</v>
      </c>
      <c r="G38" s="8">
        <v>8.5045135877875686E-6</v>
      </c>
      <c r="H38" s="8">
        <v>1.685055192249623E-7</v>
      </c>
      <c r="I38" s="8">
        <v>1.444168295376594E-9</v>
      </c>
      <c r="J38" s="11">
        <f t="shared" si="9"/>
        <v>0.3623529411764706</v>
      </c>
      <c r="K38" s="12">
        <f t="shared" si="10"/>
        <v>0.30957928038217386</v>
      </c>
      <c r="L38" s="5">
        <f t="shared" si="11"/>
        <v>1</v>
      </c>
    </row>
    <row r="39" spans="1:12" x14ac:dyDescent="0.25">
      <c r="A39" s="7">
        <v>4</v>
      </c>
      <c r="B39" s="8">
        <v>0.92858608859412251</v>
      </c>
      <c r="C39" s="8">
        <v>6.8931139291783225E-2</v>
      </c>
      <c r="D39" s="8">
        <v>2.4305670754229329E-3</v>
      </c>
      <c r="E39" s="8">
        <v>5.1519151173470083E-5</v>
      </c>
      <c r="F39" s="8">
        <v>6.8052605481500944E-7</v>
      </c>
      <c r="G39" s="8">
        <v>5.3371446489982784E-9</v>
      </c>
      <c r="H39" s="8">
        <v>2.424787181939354E-11</v>
      </c>
      <c r="I39" s="8">
        <v>5.0503242933228891E-14</v>
      </c>
      <c r="J39" s="11">
        <f t="shared" si="9"/>
        <v>7.394957983193276E-2</v>
      </c>
      <c r="K39" s="12">
        <f t="shared" si="10"/>
        <v>7.1413911405877495E-2</v>
      </c>
      <c r="L39" s="5">
        <f t="shared" si="11"/>
        <v>0.99999999999999989</v>
      </c>
    </row>
    <row r="40" spans="1:12" x14ac:dyDescent="0.25">
      <c r="A40" s="7">
        <v>5</v>
      </c>
      <c r="B40" s="8">
        <v>0.98624011264011813</v>
      </c>
      <c r="C40" s="8">
        <v>1.36547870474036E-2</v>
      </c>
      <c r="D40" s="8">
        <v>1.045437284742067E-4</v>
      </c>
      <c r="E40" s="8">
        <v>5.5462464094025525E-7</v>
      </c>
      <c r="F40" s="8">
        <v>1.9566058669775759E-9</v>
      </c>
      <c r="G40" s="8">
        <v>2.7545383518775339E-12</v>
      </c>
      <c r="H40" s="8">
        <v>2.7323866492324991E-15</v>
      </c>
      <c r="I40" s="8">
        <v>1.9185258477712361E-18</v>
      </c>
      <c r="J40" s="11">
        <f t="shared" si="9"/>
        <v>1.3865546218487401E-2</v>
      </c>
      <c r="K40" s="12">
        <f t="shared" si="10"/>
        <v>1.3759887359881873E-2</v>
      </c>
      <c r="L40" s="5">
        <f t="shared" si="11"/>
        <v>1.0000000000000002</v>
      </c>
    </row>
    <row r="41" spans="1:12" x14ac:dyDescent="0.25">
      <c r="A41" s="7">
        <v>6</v>
      </c>
      <c r="B41" s="8">
        <v>0.99764379780955392</v>
      </c>
      <c r="C41" s="8">
        <v>2.3523172267468739E-3</v>
      </c>
      <c r="D41" s="8">
        <v>3.8791520626678321E-6</v>
      </c>
      <c r="E41" s="8">
        <v>5.804059609350435E-9</v>
      </c>
      <c r="F41" s="8">
        <v>7.5760930632686342E-12</v>
      </c>
      <c r="G41" s="8">
        <v>8.2920697325538911E-16</v>
      </c>
      <c r="H41" s="8">
        <v>1.1599995561919411E-19</v>
      </c>
      <c r="I41" s="8">
        <v>3.3822515974106552E-23</v>
      </c>
      <c r="J41" s="11">
        <f t="shared" si="9"/>
        <v>2.3600929733595568E-3</v>
      </c>
      <c r="K41" s="12">
        <f t="shared" si="10"/>
        <v>2.3562021904460773E-3</v>
      </c>
      <c r="L41" s="5">
        <f t="shared" si="11"/>
        <v>0.99999999999999989</v>
      </c>
    </row>
    <row r="42" spans="1:12" x14ac:dyDescent="0.25">
      <c r="A42" s="7">
        <v>7</v>
      </c>
      <c r="B42" s="8">
        <v>0.99964097758904658</v>
      </c>
      <c r="C42" s="8">
        <v>3.5890029433020539E-4</v>
      </c>
      <c r="D42" s="8">
        <v>1.220613333848309E-7</v>
      </c>
      <c r="E42" s="8">
        <v>5.5253653272968211E-11</v>
      </c>
      <c r="F42" s="8">
        <v>3.6151626700926378E-14</v>
      </c>
      <c r="G42" s="8">
        <v>0</v>
      </c>
      <c r="H42" s="8">
        <v>0</v>
      </c>
      <c r="I42" s="8">
        <v>0</v>
      </c>
      <c r="J42" s="11">
        <f t="shared" si="9"/>
        <v>3.5914458290254133E-4</v>
      </c>
      <c r="K42" s="12">
        <f t="shared" si="10"/>
        <v>3.5902241095342458E-4</v>
      </c>
      <c r="L42" s="5">
        <f t="shared" si="11"/>
        <v>1</v>
      </c>
    </row>
    <row r="44" spans="1:12" x14ac:dyDescent="0.25">
      <c r="A44" s="10" t="s">
        <v>27</v>
      </c>
      <c r="D44" s="2" t="s">
        <v>28</v>
      </c>
    </row>
    <row r="45" spans="1:12" x14ac:dyDescent="0.25">
      <c r="A45" s="3" t="s">
        <v>2</v>
      </c>
      <c r="B45" s="3" t="s">
        <v>19</v>
      </c>
      <c r="C45" s="3" t="s">
        <v>20</v>
      </c>
      <c r="D45" s="3" t="s">
        <v>21</v>
      </c>
      <c r="E45" s="3" t="s">
        <v>3</v>
      </c>
      <c r="F45" s="3" t="s">
        <v>4</v>
      </c>
      <c r="G45" s="3" t="s">
        <v>5</v>
      </c>
      <c r="H45" s="3" t="s">
        <v>6</v>
      </c>
      <c r="I45" s="3" t="s">
        <v>7</v>
      </c>
      <c r="J45" s="3" t="s">
        <v>22</v>
      </c>
      <c r="K45" s="3" t="s">
        <v>23</v>
      </c>
      <c r="L45" s="3" t="s">
        <v>15</v>
      </c>
    </row>
    <row r="46" spans="1:12" x14ac:dyDescent="0.25">
      <c r="A46" s="7">
        <v>1</v>
      </c>
      <c r="B46" s="8">
        <v>0</v>
      </c>
      <c r="C46" s="8">
        <v>0</v>
      </c>
      <c r="D46" s="8">
        <v>0</v>
      </c>
      <c r="E46" s="8">
        <v>0</v>
      </c>
      <c r="F46" s="8">
        <v>0</v>
      </c>
      <c r="G46" s="8">
        <v>0</v>
      </c>
      <c r="H46" s="8">
        <v>0</v>
      </c>
      <c r="I46" s="8">
        <v>1</v>
      </c>
      <c r="J46" s="11">
        <f t="shared" ref="J46:J52" si="12">1*C46+2*D46+3*E46+4*F46+5*G46+6*H46+7*I46</f>
        <v>7</v>
      </c>
      <c r="K46" s="12">
        <f t="shared" ref="K46:K52" si="13">1-B46</f>
        <v>1</v>
      </c>
      <c r="L46" s="5">
        <f t="shared" ref="L46:L52" si="14">SUM(B46:I46)</f>
        <v>1</v>
      </c>
    </row>
    <row r="47" spans="1:12" x14ac:dyDescent="0.25">
      <c r="A47" s="7">
        <v>2</v>
      </c>
      <c r="B47" s="8">
        <v>0</v>
      </c>
      <c r="C47" s="8">
        <v>0</v>
      </c>
      <c r="D47" s="8">
        <v>0</v>
      </c>
      <c r="E47" s="8">
        <v>0</v>
      </c>
      <c r="F47" s="8">
        <v>0</v>
      </c>
      <c r="G47" s="8">
        <v>0</v>
      </c>
      <c r="H47" s="8">
        <v>0</v>
      </c>
      <c r="I47" s="8">
        <v>1</v>
      </c>
      <c r="J47" s="11">
        <f t="shared" si="12"/>
        <v>7</v>
      </c>
      <c r="K47" s="12">
        <f t="shared" si="13"/>
        <v>1</v>
      </c>
      <c r="L47" s="5">
        <f t="shared" si="14"/>
        <v>1</v>
      </c>
    </row>
    <row r="48" spans="1:12" x14ac:dyDescent="0.25">
      <c r="A48" s="7">
        <v>3</v>
      </c>
      <c r="B48" s="8">
        <v>0</v>
      </c>
      <c r="C48" s="8">
        <v>0</v>
      </c>
      <c r="D48" s="8">
        <v>0</v>
      </c>
      <c r="E48" s="8">
        <v>0</v>
      </c>
      <c r="F48" s="8">
        <v>0</v>
      </c>
      <c r="G48" s="8">
        <v>0</v>
      </c>
      <c r="H48" s="8">
        <v>0</v>
      </c>
      <c r="I48" s="8">
        <v>1</v>
      </c>
      <c r="J48" s="11">
        <f t="shared" si="12"/>
        <v>7</v>
      </c>
      <c r="K48" s="12">
        <f t="shared" si="13"/>
        <v>1</v>
      </c>
      <c r="L48" s="5">
        <f t="shared" si="14"/>
        <v>1</v>
      </c>
    </row>
    <row r="49" spans="1:12" x14ac:dyDescent="0.25">
      <c r="A49" s="7">
        <v>4</v>
      </c>
      <c r="B49" s="8">
        <v>1.973909557082314E-7</v>
      </c>
      <c r="C49" s="8">
        <v>1.040129484976844E-5</v>
      </c>
      <c r="D49" s="8">
        <v>2.4378721675574679E-4</v>
      </c>
      <c r="E49" s="8">
        <v>3.2618865697965271E-3</v>
      </c>
      <c r="F49" s="8">
        <v>2.6738885166363691E-2</v>
      </c>
      <c r="G49" s="8">
        <v>0.13371134600375309</v>
      </c>
      <c r="H49" s="8">
        <v>0.3765177755826325</v>
      </c>
      <c r="I49" s="8">
        <v>0.45951572077489289</v>
      </c>
      <c r="J49" s="11">
        <f t="shared" si="12"/>
        <v>6.2615126050420162</v>
      </c>
      <c r="K49" s="12">
        <f t="shared" si="13"/>
        <v>0.99999980260904431</v>
      </c>
      <c r="L49" s="5">
        <f t="shared" si="14"/>
        <v>0.99999999999999989</v>
      </c>
    </row>
    <row r="50" spans="1:12" x14ac:dyDescent="0.25">
      <c r="A50" s="7">
        <v>5</v>
      </c>
      <c r="B50" s="8">
        <v>1.204778782398873E-4</v>
      </c>
      <c r="C50" s="8">
        <v>2.0333715368242209E-3</v>
      </c>
      <c r="D50" s="8">
        <v>1.557639509424266E-2</v>
      </c>
      <c r="E50" s="8">
        <v>6.8797239791604528E-2</v>
      </c>
      <c r="F50" s="8">
        <v>0.1872760301905316</v>
      </c>
      <c r="G50" s="8">
        <v>0.31220239700343327</v>
      </c>
      <c r="H50" s="8">
        <v>0.29387109381024068</v>
      </c>
      <c r="I50" s="8">
        <v>0.12012299469488311</v>
      </c>
      <c r="J50" s="11">
        <f t="shared" si="12"/>
        <v>5.1537815126050415</v>
      </c>
      <c r="K50" s="12">
        <f t="shared" si="13"/>
        <v>0.99987952212176012</v>
      </c>
      <c r="L50" s="5">
        <f t="shared" si="14"/>
        <v>0.99999999999999989</v>
      </c>
    </row>
    <row r="51" spans="1:12" x14ac:dyDescent="0.25">
      <c r="A51" s="7">
        <v>6</v>
      </c>
      <c r="B51" s="8">
        <v>3.364042210794697E-3</v>
      </c>
      <c r="C51" s="8">
        <v>2.679936819883405E-2</v>
      </c>
      <c r="D51" s="8">
        <v>9.949631292579908E-2</v>
      </c>
      <c r="E51" s="8">
        <v>0.2148374788658686</v>
      </c>
      <c r="F51" s="8">
        <v>0.28737686788300648</v>
      </c>
      <c r="G51" s="8">
        <v>0.23614013235836179</v>
      </c>
      <c r="H51" s="8">
        <v>0.1097877222352793</v>
      </c>
      <c r="I51" s="8">
        <v>2.2198075322055859E-2</v>
      </c>
      <c r="J51" s="11">
        <f t="shared" si="12"/>
        <v>4.0146254246379396</v>
      </c>
      <c r="K51" s="12">
        <f t="shared" si="13"/>
        <v>0.99663595778920533</v>
      </c>
      <c r="L51" s="5">
        <f t="shared" si="14"/>
        <v>0.99999999999999989</v>
      </c>
    </row>
    <row r="52" spans="1:12" x14ac:dyDescent="0.25">
      <c r="A52" s="7">
        <v>7</v>
      </c>
      <c r="B52" s="8">
        <v>2.4237585133394711E-2</v>
      </c>
      <c r="C52" s="8">
        <v>0.1071988427982643</v>
      </c>
      <c r="D52" s="8">
        <v>0.2281119465795822</v>
      </c>
      <c r="E52" s="8">
        <v>0.28390926409831729</v>
      </c>
      <c r="F52" s="8">
        <v>0.2199416310535437</v>
      </c>
      <c r="G52" s="8">
        <v>0.10490517629999389</v>
      </c>
      <c r="H52" s="8">
        <v>2.8358120109708718E-2</v>
      </c>
      <c r="I52" s="8">
        <v>3.3374339271952679E-3</v>
      </c>
      <c r="J52" s="11">
        <f t="shared" si="12"/>
        <v>3.0129536921151443</v>
      </c>
      <c r="K52" s="12">
        <f t="shared" si="13"/>
        <v>0.97576241486660531</v>
      </c>
      <c r="L52" s="5">
        <f t="shared" si="14"/>
        <v>1</v>
      </c>
    </row>
    <row r="54" spans="1:12" x14ac:dyDescent="0.25">
      <c r="A54" s="10" t="s">
        <v>29</v>
      </c>
    </row>
    <row r="55" spans="1:12" x14ac:dyDescent="0.25">
      <c r="A55" s="3" t="s">
        <v>2</v>
      </c>
      <c r="B55" s="3" t="s">
        <v>19</v>
      </c>
      <c r="C55" s="3" t="s">
        <v>20</v>
      </c>
      <c r="D55" s="3" t="s">
        <v>21</v>
      </c>
      <c r="E55" s="3" t="s">
        <v>3</v>
      </c>
      <c r="F55" s="3" t="s">
        <v>4</v>
      </c>
      <c r="G55" s="3" t="s">
        <v>5</v>
      </c>
      <c r="H55" s="3" t="s">
        <v>6</v>
      </c>
      <c r="I55" s="3" t="s">
        <v>7</v>
      </c>
      <c r="J55" s="3" t="s">
        <v>22</v>
      </c>
      <c r="K55" s="3" t="s">
        <v>23</v>
      </c>
      <c r="L55" s="3" t="s">
        <v>15</v>
      </c>
    </row>
    <row r="56" spans="1:12" x14ac:dyDescent="0.25">
      <c r="A56" s="7">
        <v>1</v>
      </c>
      <c r="B56" s="8">
        <v>0</v>
      </c>
      <c r="C56" s="8">
        <v>0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8">
        <v>1</v>
      </c>
      <c r="J56" s="11">
        <f t="shared" ref="J56:J62" si="15">1*C56+2*D56+3*E56+4*F56+5*G56+6*H56+7*I56</f>
        <v>7</v>
      </c>
      <c r="K56" s="12">
        <f t="shared" ref="K56:K62" si="16">1-B56</f>
        <v>1</v>
      </c>
      <c r="L56" s="5">
        <f t="shared" ref="L56:L62" si="17">SUM(B56:I56)</f>
        <v>1</v>
      </c>
    </row>
    <row r="57" spans="1:12" x14ac:dyDescent="0.25">
      <c r="A57" s="7">
        <v>2</v>
      </c>
      <c r="B57" s="8">
        <v>0</v>
      </c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v>0</v>
      </c>
      <c r="I57" s="8">
        <v>1</v>
      </c>
      <c r="J57" s="11">
        <f t="shared" si="15"/>
        <v>7</v>
      </c>
      <c r="K57" s="12">
        <f t="shared" si="16"/>
        <v>1</v>
      </c>
      <c r="L57" s="5">
        <f t="shared" si="17"/>
        <v>1</v>
      </c>
    </row>
    <row r="58" spans="1:12" x14ac:dyDescent="0.25">
      <c r="A58" s="7">
        <v>3</v>
      </c>
      <c r="B58" s="8">
        <v>1.667819333426368E-3</v>
      </c>
      <c r="C58" s="8">
        <v>1.7154470789214581E-2</v>
      </c>
      <c r="D58" s="8">
        <v>7.6425186073431003E-2</v>
      </c>
      <c r="E58" s="8">
        <v>0.19084425141664871</v>
      </c>
      <c r="F58" s="8">
        <v>0.28810438129055999</v>
      </c>
      <c r="G58" s="8">
        <v>0.26266043789893068</v>
      </c>
      <c r="H58" s="8">
        <v>0.13379089599214311</v>
      </c>
      <c r="I58" s="8">
        <v>2.9352557205645721E-2</v>
      </c>
      <c r="J58" s="11">
        <f t="shared" si="15"/>
        <v>4.2164705882352944</v>
      </c>
      <c r="K58" s="12">
        <f t="shared" si="16"/>
        <v>0.99833218066657359</v>
      </c>
      <c r="L58" s="5">
        <f t="shared" si="17"/>
        <v>1.0000000000000002</v>
      </c>
    </row>
    <row r="59" spans="1:12" x14ac:dyDescent="0.25">
      <c r="A59" s="7">
        <v>4</v>
      </c>
      <c r="B59" s="8">
        <v>7.7339394612003162E-2</v>
      </c>
      <c r="C59" s="8">
        <v>0.23402943867785231</v>
      </c>
      <c r="D59" s="8">
        <v>0.31139962711682229</v>
      </c>
      <c r="E59" s="8">
        <v>0.23462086107608679</v>
      </c>
      <c r="F59" s="8">
        <v>0.1076325508073579</v>
      </c>
      <c r="G59" s="8">
        <v>2.9977910205309641E-2</v>
      </c>
      <c r="H59" s="8">
        <v>4.6839814991408756E-3</v>
      </c>
      <c r="I59" s="8">
        <v>3.1623600542700218E-4</v>
      </c>
      <c r="J59" s="11">
        <f t="shared" si="15"/>
        <v>2.1714285714285713</v>
      </c>
      <c r="K59" s="12">
        <f t="shared" si="16"/>
        <v>0.92266060538799688</v>
      </c>
      <c r="L59" s="5">
        <f t="shared" si="17"/>
        <v>0.99999999999999989</v>
      </c>
    </row>
    <row r="60" spans="1:12" x14ac:dyDescent="0.25">
      <c r="A60" s="7">
        <v>5</v>
      </c>
      <c r="B60" s="8">
        <v>0.33312913301171598</v>
      </c>
      <c r="C60" s="8">
        <v>0.38767508883845292</v>
      </c>
      <c r="D60" s="8">
        <v>0.20436385273087221</v>
      </c>
      <c r="E60" s="8">
        <v>6.1919764857061362E-2</v>
      </c>
      <c r="F60" s="8">
        <v>1.1517201653923229E-2</v>
      </c>
      <c r="G60" s="8">
        <v>1.308856042114327E-3</v>
      </c>
      <c r="H60" s="8">
        <v>8.3778111606784547E-5</v>
      </c>
      <c r="I60" s="8">
        <v>2.3247542531784801E-6</v>
      </c>
      <c r="J60" s="11">
        <f t="shared" si="15"/>
        <v>1.0352941176470591</v>
      </c>
      <c r="K60" s="12">
        <f t="shared" si="16"/>
        <v>0.66687086698828402</v>
      </c>
      <c r="L60" s="5">
        <f t="shared" si="17"/>
        <v>1</v>
      </c>
    </row>
    <row r="61" spans="1:12" x14ac:dyDescent="0.25">
      <c r="A61" s="7">
        <v>6</v>
      </c>
      <c r="B61" s="8">
        <v>0.62039281425705994</v>
      </c>
      <c r="C61" s="8">
        <v>0.30002173230420198</v>
      </c>
      <c r="D61" s="8">
        <v>6.9394722864270453E-2</v>
      </c>
      <c r="E61" s="8">
        <v>9.3681548574278233E-3</v>
      </c>
      <c r="F61" s="8">
        <v>7.8119006150909086E-4</v>
      </c>
      <c r="G61" s="8">
        <v>4.0206575252756448E-5</v>
      </c>
      <c r="H61" s="8">
        <v>1.164347381002527E-6</v>
      </c>
      <c r="I61" s="8">
        <v>1.473289702276466E-8</v>
      </c>
      <c r="J61" s="11">
        <f t="shared" si="15"/>
        <v>0.47024852494189168</v>
      </c>
      <c r="K61" s="12">
        <f t="shared" si="16"/>
        <v>0.37960718574294006</v>
      </c>
      <c r="L61" s="5">
        <f t="shared" si="17"/>
        <v>0.99999999999999989</v>
      </c>
    </row>
    <row r="62" spans="1:12" x14ac:dyDescent="0.25">
      <c r="A62" s="7">
        <v>7</v>
      </c>
      <c r="B62" s="8">
        <v>0.81446154551611827</v>
      </c>
      <c r="C62" s="8">
        <v>0.16650045892947149</v>
      </c>
      <c r="D62" s="8">
        <v>1.787059611392491E-2</v>
      </c>
      <c r="E62" s="8">
        <v>1.1225093317596771E-3</v>
      </c>
      <c r="F62" s="8">
        <v>4.3798412238973341E-5</v>
      </c>
      <c r="G62" s="8">
        <v>1.077067320776457E-6</v>
      </c>
      <c r="H62" s="8">
        <v>1.453916510482181E-8</v>
      </c>
      <c r="I62" s="8">
        <v>9.0000768919918419E-11</v>
      </c>
      <c r="J62" s="11">
        <f t="shared" si="15"/>
        <v>0.20578984600315614</v>
      </c>
      <c r="K62" s="12">
        <f t="shared" si="16"/>
        <v>0.18553845448388173</v>
      </c>
      <c r="L62" s="5">
        <f t="shared" si="17"/>
        <v>1</v>
      </c>
    </row>
    <row r="64" spans="1:12" x14ac:dyDescent="0.25">
      <c r="A64" s="10" t="s">
        <v>30</v>
      </c>
      <c r="D64" s="2" t="s">
        <v>31</v>
      </c>
    </row>
    <row r="65" spans="1:12" x14ac:dyDescent="0.25">
      <c r="A65" s="3" t="s">
        <v>2</v>
      </c>
      <c r="B65" s="3" t="s">
        <v>19</v>
      </c>
      <c r="C65" s="3" t="s">
        <v>20</v>
      </c>
      <c r="D65" s="3" t="s">
        <v>21</v>
      </c>
      <c r="E65" s="3" t="s">
        <v>3</v>
      </c>
      <c r="F65" s="3" t="s">
        <v>4</v>
      </c>
      <c r="G65" s="3" t="s">
        <v>5</v>
      </c>
      <c r="H65" s="3" t="s">
        <v>6</v>
      </c>
      <c r="I65" s="3" t="s">
        <v>7</v>
      </c>
      <c r="J65" s="3" t="s">
        <v>22</v>
      </c>
      <c r="K65" s="3" t="s">
        <v>23</v>
      </c>
      <c r="L65" s="3" t="s">
        <v>15</v>
      </c>
    </row>
    <row r="66" spans="1:12" x14ac:dyDescent="0.25">
      <c r="A66" s="7">
        <v>1</v>
      </c>
      <c r="B66" s="8">
        <v>0</v>
      </c>
      <c r="C66" s="8">
        <v>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1</v>
      </c>
      <c r="J66" s="11">
        <f t="shared" ref="J66:J72" si="18">1*C66+2*D66+3*E66+4*F66+5*G66+6*H66+7*I66</f>
        <v>7</v>
      </c>
      <c r="K66" s="12">
        <f t="shared" ref="K66:K72" si="19">1-B66</f>
        <v>1</v>
      </c>
      <c r="L66" s="5">
        <f t="shared" ref="L66:L72" si="20">SUM(B66:I66)</f>
        <v>1</v>
      </c>
    </row>
    <row r="67" spans="1:12" x14ac:dyDescent="0.25">
      <c r="A67" s="7">
        <v>2</v>
      </c>
      <c r="B67" s="8">
        <v>0.15375985558088551</v>
      </c>
      <c r="C67" s="8">
        <v>0.32892791014347972</v>
      </c>
      <c r="D67" s="8">
        <v>0.30311764186145418</v>
      </c>
      <c r="E67" s="8">
        <v>0.15589684836077949</v>
      </c>
      <c r="F67" s="8">
        <v>4.8304924240235067E-2</v>
      </c>
      <c r="G67" s="8">
        <v>9.0134436871007577E-3</v>
      </c>
      <c r="H67" s="8">
        <v>9.3746369821612232E-4</v>
      </c>
      <c r="I67" s="8">
        <v>4.1912427849202113E-5</v>
      </c>
      <c r="J67" s="11">
        <f t="shared" si="18"/>
        <v>1.6470588235294119</v>
      </c>
      <c r="K67" s="12">
        <f t="shared" si="19"/>
        <v>0.84624014441911455</v>
      </c>
      <c r="L67" s="5">
        <f t="shared" si="20"/>
        <v>1</v>
      </c>
    </row>
    <row r="68" spans="1:12" x14ac:dyDescent="0.25">
      <c r="A68" s="7">
        <v>3</v>
      </c>
      <c r="B68" s="8">
        <v>0.69042071961782614</v>
      </c>
      <c r="C68" s="8">
        <v>0.26146859639567221</v>
      </c>
      <c r="D68" s="8">
        <v>4.3706324080100709E-2</v>
      </c>
      <c r="E68" s="8">
        <v>4.1545888621379408E-3</v>
      </c>
      <c r="F68" s="8">
        <v>2.4109658098769529E-4</v>
      </c>
      <c r="G68" s="8">
        <v>8.5045135877875686E-6</v>
      </c>
      <c r="H68" s="8">
        <v>1.685055192249623E-7</v>
      </c>
      <c r="I68" s="8">
        <v>1.444168295376594E-9</v>
      </c>
      <c r="J68" s="11">
        <f t="shared" si="18"/>
        <v>0.3623529411764706</v>
      </c>
      <c r="K68" s="12">
        <f t="shared" si="19"/>
        <v>0.30957928038217386</v>
      </c>
      <c r="L68" s="5">
        <f t="shared" si="20"/>
        <v>1</v>
      </c>
    </row>
    <row r="69" spans="1:12" x14ac:dyDescent="0.25">
      <c r="A69" s="7">
        <v>4</v>
      </c>
      <c r="B69" s="8">
        <v>0.92858608859412251</v>
      </c>
      <c r="C69" s="8">
        <v>6.8931139291783225E-2</v>
      </c>
      <c r="D69" s="8">
        <v>2.4305670754229329E-3</v>
      </c>
      <c r="E69" s="8">
        <v>5.1519151173470083E-5</v>
      </c>
      <c r="F69" s="8">
        <v>6.8052605481500944E-7</v>
      </c>
      <c r="G69" s="8">
        <v>5.3371446489982784E-9</v>
      </c>
      <c r="H69" s="8">
        <v>2.424787181939354E-11</v>
      </c>
      <c r="I69" s="8">
        <v>5.0503242933228891E-14</v>
      </c>
      <c r="J69" s="11">
        <f t="shared" si="18"/>
        <v>7.394957983193276E-2</v>
      </c>
      <c r="K69" s="12">
        <f t="shared" si="19"/>
        <v>7.1413911405877495E-2</v>
      </c>
      <c r="L69" s="5">
        <f t="shared" si="20"/>
        <v>0.99999999999999989</v>
      </c>
    </row>
    <row r="70" spans="1:12" x14ac:dyDescent="0.25">
      <c r="A70" s="7">
        <v>5</v>
      </c>
      <c r="B70" s="8">
        <v>0.98624011264011813</v>
      </c>
      <c r="C70" s="8">
        <v>1.36547870474036E-2</v>
      </c>
      <c r="D70" s="8">
        <v>1.045437284742067E-4</v>
      </c>
      <c r="E70" s="8">
        <v>5.5462464094025525E-7</v>
      </c>
      <c r="F70" s="8">
        <v>1.9566058669775759E-9</v>
      </c>
      <c r="G70" s="8">
        <v>2.7545383518775339E-12</v>
      </c>
      <c r="H70" s="8">
        <v>2.7323866492324991E-15</v>
      </c>
      <c r="I70" s="8">
        <v>1.9185258477712361E-18</v>
      </c>
      <c r="J70" s="11">
        <f t="shared" si="18"/>
        <v>1.3865546218487401E-2</v>
      </c>
      <c r="K70" s="12">
        <f t="shared" si="19"/>
        <v>1.3759887359881873E-2</v>
      </c>
      <c r="L70" s="5">
        <f t="shared" si="20"/>
        <v>1.0000000000000002</v>
      </c>
    </row>
    <row r="71" spans="1:12" x14ac:dyDescent="0.25">
      <c r="A71" s="7">
        <v>6</v>
      </c>
      <c r="B71" s="8">
        <v>0.99764379780955392</v>
      </c>
      <c r="C71" s="8">
        <v>2.3523172267468739E-3</v>
      </c>
      <c r="D71" s="8">
        <v>3.8791520626678321E-6</v>
      </c>
      <c r="E71" s="8">
        <v>5.804059609350435E-9</v>
      </c>
      <c r="F71" s="8">
        <v>7.5760930632686342E-12</v>
      </c>
      <c r="G71" s="8">
        <v>8.2920697325538911E-16</v>
      </c>
      <c r="H71" s="8">
        <v>1.1599995561919411E-19</v>
      </c>
      <c r="I71" s="8">
        <v>3.3822515974106552E-23</v>
      </c>
      <c r="J71" s="11">
        <f t="shared" si="18"/>
        <v>2.3600929733595568E-3</v>
      </c>
      <c r="K71" s="12">
        <f t="shared" si="19"/>
        <v>2.3562021904460773E-3</v>
      </c>
      <c r="L71" s="5">
        <f t="shared" si="20"/>
        <v>0.99999999999999989</v>
      </c>
    </row>
    <row r="72" spans="1:12" x14ac:dyDescent="0.25">
      <c r="A72" s="7">
        <v>7</v>
      </c>
      <c r="B72" s="8">
        <v>0.99964097758904658</v>
      </c>
      <c r="C72" s="8">
        <v>3.5890029433020539E-4</v>
      </c>
      <c r="D72" s="8">
        <v>1.220613333848309E-7</v>
      </c>
      <c r="E72" s="8">
        <v>5.5253653272968211E-11</v>
      </c>
      <c r="F72" s="8">
        <v>3.6151626700926378E-14</v>
      </c>
      <c r="G72" s="8">
        <v>0</v>
      </c>
      <c r="H72" s="8">
        <v>0</v>
      </c>
      <c r="I72" s="8">
        <v>0</v>
      </c>
      <c r="J72" s="11">
        <f t="shared" si="18"/>
        <v>3.5914458290254133E-4</v>
      </c>
      <c r="K72" s="12">
        <f t="shared" si="19"/>
        <v>3.5902241095342458E-4</v>
      </c>
      <c r="L72" s="5">
        <f t="shared" si="20"/>
        <v>1</v>
      </c>
    </row>
  </sheetData>
  <conditionalFormatting sqref="B6:I12">
    <cfRule type="colorScale" priority="1">
      <colorScale>
        <cfvo type="num" val="0"/>
        <cfvo type="num" val="1"/>
        <color rgb="FFFFFFFF"/>
        <color rgb="FF4F9A6E"/>
      </colorScale>
    </cfRule>
  </conditionalFormatting>
  <conditionalFormatting sqref="B16:I22">
    <cfRule type="colorScale" priority="2">
      <colorScale>
        <cfvo type="num" val="0"/>
        <cfvo type="num" val="1"/>
        <color rgb="FFFFFFFF"/>
        <color rgb="FF4F9A6E"/>
      </colorScale>
    </cfRule>
  </conditionalFormatting>
  <conditionalFormatting sqref="B26:I32">
    <cfRule type="colorScale" priority="3">
      <colorScale>
        <cfvo type="num" val="0"/>
        <cfvo type="num" val="1"/>
        <color rgb="FFFFFFFF"/>
        <color rgb="FF4F9A6E"/>
      </colorScale>
    </cfRule>
  </conditionalFormatting>
  <conditionalFormatting sqref="B36:I42">
    <cfRule type="colorScale" priority="4">
      <colorScale>
        <cfvo type="num" val="0"/>
        <cfvo type="num" val="1"/>
        <color rgb="FFFFFFFF"/>
        <color rgb="FF4F9A6E"/>
      </colorScale>
    </cfRule>
  </conditionalFormatting>
  <conditionalFormatting sqref="B46:I52">
    <cfRule type="colorScale" priority="5">
      <colorScale>
        <cfvo type="num" val="0"/>
        <cfvo type="num" val="1"/>
        <color rgb="FFFFFFFF"/>
        <color rgb="FF4F9A6E"/>
      </colorScale>
    </cfRule>
  </conditionalFormatting>
  <conditionalFormatting sqref="B56:I62">
    <cfRule type="colorScale" priority="6">
      <colorScale>
        <cfvo type="num" val="0"/>
        <cfvo type="num" val="1"/>
        <color rgb="FFFFFFFF"/>
        <color rgb="FF4F9A6E"/>
      </colorScale>
    </cfRule>
  </conditionalFormatting>
  <conditionalFormatting sqref="B66:I72">
    <cfRule type="colorScale" priority="7">
      <colorScale>
        <cfvo type="num" val="0"/>
        <cfvo type="num" val="1"/>
        <color rgb="FFFFFFFF"/>
        <color rgb="FF4F9A6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12"/>
  <sheetViews>
    <sheetView workbookViewId="0"/>
  </sheetViews>
  <sheetFormatPr defaultRowHeight="15" x14ac:dyDescent="0.25"/>
  <cols>
    <col min="1" max="1" width="110" customWidth="1"/>
  </cols>
  <sheetData>
    <row r="1" spans="1:1" x14ac:dyDescent="0.25">
      <c r="A1" s="13" t="s">
        <v>40</v>
      </c>
    </row>
    <row r="2" spans="1:1" x14ac:dyDescent="0.25">
      <c r="A2" s="14" t="s">
        <v>41</v>
      </c>
    </row>
    <row r="3" spans="1:1" x14ac:dyDescent="0.25">
      <c r="A3" s="14" t="s">
        <v>42</v>
      </c>
    </row>
    <row r="4" spans="1:1" x14ac:dyDescent="0.25">
      <c r="A4" s="14" t="s">
        <v>43</v>
      </c>
    </row>
    <row r="5" spans="1:1" x14ac:dyDescent="0.25">
      <c r="A5" s="14" t="s">
        <v>44</v>
      </c>
    </row>
    <row r="6" spans="1:1" x14ac:dyDescent="0.25">
      <c r="A6" s="14"/>
    </row>
    <row r="7" spans="1:1" x14ac:dyDescent="0.25">
      <c r="A7" s="13" t="s">
        <v>45</v>
      </c>
    </row>
    <row r="8" spans="1:1" x14ac:dyDescent="0.25">
      <c r="A8" s="14" t="s">
        <v>46</v>
      </c>
    </row>
    <row r="9" spans="1:1" x14ac:dyDescent="0.25">
      <c r="A9" s="14" t="s">
        <v>47</v>
      </c>
    </row>
    <row r="10" spans="1:1" x14ac:dyDescent="0.25">
      <c r="A10" s="14" t="s">
        <v>48</v>
      </c>
    </row>
    <row r="11" spans="1:1" x14ac:dyDescent="0.25">
      <c r="A11" s="14"/>
    </row>
    <row r="12" spans="1:1" x14ac:dyDescent="0.25">
      <c r="A12" s="14" t="s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Anyone void</vt:lpstr>
      <vt:lpstr>Single hand</vt:lpstr>
      <vt:lpstr>3 players</vt:lpstr>
      <vt:lpstr>4 players</vt:lpstr>
      <vt:lpstr>5 players</vt:lpstr>
      <vt:lpstr>6 players</vt:lpstr>
      <vt:lpstr>7 players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 Agniel</cp:lastModifiedBy>
  <dcterms:created xsi:type="dcterms:W3CDTF">2026-09-26T15:16:30Z</dcterms:created>
  <dcterms:modified xsi:type="dcterms:W3CDTF">2026-09-26T15:22:08Z</dcterms:modified>
</cp:coreProperties>
</file>